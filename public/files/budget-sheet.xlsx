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작성안내" sheetId="1" state="visible" r:id="rId3"/>
    <sheet name="산출근거입력" sheetId="2" state="visible" r:id="rId4"/>
    <sheet name="예산총괄표" sheetId="3" state="visible" r:id="rId5"/>
    <sheet name="검산점검" sheetId="4" state="visible" r:id="rId6"/>
    <sheet name="단가참고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" authorId="0">
      <text>
        <r>
          <rPr>
            <sz val="10"/>
            <rFont val="Noto Sans CJK SC"/>
            <family val="2"/>
          </rPr>
          <t xml:space="preserve">예시 행의 단가는 설명용 가정값입니다</t>
        </r>
        <r>
          <rPr>
            <sz val="10"/>
            <rFont val="Arial"/>
            <family val="2"/>
          </rPr>
          <t xml:space="preserve">.
</t>
        </r>
        <r>
          <rPr>
            <sz val="10"/>
            <rFont val="Noto Sans CJK SC"/>
            <family val="2"/>
          </rPr>
          <t xml:space="preserve">실제 단가는 기관 지급기준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Noto Sans CJK SC"/>
            <family val="2"/>
          </rPr>
          <t xml:space="preserve">견적서 등 근거 자료를 확인해 입력하세요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<sst xmlns="http://schemas.openxmlformats.org/spreadsheetml/2006/main" count="268" uniqueCount="217">
  <si>
    <t xml:space="preserve">사업 예산 편성 시트  ―  사용 안내</t>
  </si>
  <si>
    <r>
      <rPr>
        <sz val="10"/>
        <color rgb="FF44565C"/>
        <rFont val="Noto Sans CJK SC"/>
        <family val="2"/>
      </rPr>
      <t xml:space="preserve">공모사업 사업계획서의 </t>
    </r>
    <r>
      <rPr>
        <sz val="10"/>
        <color rgb="FF44565C"/>
        <rFont val="맑은 고딕"/>
        <family val="0"/>
        <charset val="1"/>
      </rPr>
      <t xml:space="preserve">'</t>
    </r>
    <r>
      <rPr>
        <sz val="10"/>
        <color rgb="FF44565C"/>
        <rFont val="Noto Sans CJK SC"/>
        <family val="2"/>
      </rPr>
      <t xml:space="preserve">예산 계획</t>
    </r>
    <r>
      <rPr>
        <sz val="10"/>
        <color rgb="FF44565C"/>
        <rFont val="맑은 고딕"/>
        <family val="0"/>
        <charset val="1"/>
      </rPr>
      <t xml:space="preserve">' </t>
    </r>
    <r>
      <rPr>
        <sz val="10"/>
        <color rgb="FF44565C"/>
        <rFont val="Noto Sans CJK SC"/>
        <family val="2"/>
      </rPr>
      <t xml:space="preserve">항목을 작성하기 위한 시트입니다</t>
    </r>
    <r>
      <rPr>
        <sz val="10"/>
        <color rgb="FF44565C"/>
        <rFont val="맑은 고딕"/>
        <family val="0"/>
        <charset val="1"/>
      </rPr>
      <t xml:space="preserve">.</t>
    </r>
  </si>
  <si>
    <t xml:space="preserve">작성 순서</t>
  </si>
  <si>
    <r>
      <rPr>
        <b val="true"/>
        <sz val="10"/>
        <color rgb="FF0B3C49"/>
        <rFont val="맑은 고딕"/>
        <family val="0"/>
        <charset val="1"/>
      </rPr>
      <t xml:space="preserve">1</t>
    </r>
    <r>
      <rPr>
        <b val="true"/>
        <sz val="10"/>
        <color rgb="FF0B3C49"/>
        <rFont val="Noto Sans CJK SC"/>
        <family val="2"/>
      </rPr>
      <t xml:space="preserve">단계</t>
    </r>
  </si>
  <si>
    <r>
      <rPr>
        <sz val="10"/>
        <color rgb="FF44565C"/>
        <rFont val="Noto Sans CJK SC"/>
        <family val="2"/>
      </rPr>
      <t xml:space="preserve">공고문의 </t>
    </r>
    <r>
      <rPr>
        <sz val="10"/>
        <color rgb="FF44565C"/>
        <rFont val="맑은 고딕"/>
        <family val="0"/>
        <charset val="1"/>
      </rPr>
      <t xml:space="preserve">'</t>
    </r>
    <r>
      <rPr>
        <sz val="10"/>
        <color rgb="FF44565C"/>
        <rFont val="Noto Sans CJK SC"/>
        <family val="2"/>
      </rPr>
      <t xml:space="preserve">예산 편성 기준 </t>
    </r>
    <r>
      <rPr>
        <sz val="10"/>
        <color rgb="FF44565C"/>
        <rFont val="맑은 고딕"/>
        <family val="0"/>
        <charset val="1"/>
      </rPr>
      <t xml:space="preserve">/ </t>
    </r>
    <r>
      <rPr>
        <sz val="10"/>
        <color rgb="FF44565C"/>
        <rFont val="Noto Sans CJK SC"/>
        <family val="2"/>
      </rPr>
      <t xml:space="preserve">보조금 관리 지침</t>
    </r>
    <r>
      <rPr>
        <sz val="10"/>
        <color rgb="FF44565C"/>
        <rFont val="맑은 고딕"/>
        <family val="0"/>
        <charset val="1"/>
      </rPr>
      <t xml:space="preserve">'</t>
    </r>
    <r>
      <rPr>
        <sz val="10"/>
        <color rgb="FF44565C"/>
        <rFont val="Noto Sans CJK SC"/>
        <family val="2"/>
      </rPr>
      <t xml:space="preserve">을 먼저 확인합니다</t>
    </r>
    <r>
      <rPr>
        <sz val="10"/>
        <color rgb="FF44565C"/>
        <rFont val="맑은 고딕"/>
        <family val="0"/>
        <charset val="1"/>
      </rPr>
      <t xml:space="preserve">. (</t>
    </r>
    <r>
      <rPr>
        <sz val="10"/>
        <color rgb="FF44565C"/>
        <rFont val="Noto Sans CJK SC"/>
        <family val="2"/>
      </rPr>
      <t xml:space="preserve">비목별 한도</t>
    </r>
    <r>
      <rPr>
        <sz val="10"/>
        <color rgb="FF44565C"/>
        <rFont val="맑은 고딕"/>
        <family val="0"/>
        <charset val="1"/>
      </rPr>
      <t xml:space="preserve">, </t>
    </r>
    <r>
      <rPr>
        <sz val="10"/>
        <color rgb="FF44565C"/>
        <rFont val="Noto Sans CJK SC"/>
        <family val="2"/>
      </rPr>
      <t xml:space="preserve">자부담 최소 비율</t>
    </r>
    <r>
      <rPr>
        <sz val="10"/>
        <color rgb="FF44565C"/>
        <rFont val="맑은 고딕"/>
        <family val="0"/>
        <charset val="1"/>
      </rPr>
      <t xml:space="preserve">, </t>
    </r>
    <r>
      <rPr>
        <sz val="10"/>
        <color rgb="FF44565C"/>
        <rFont val="Noto Sans CJK SC"/>
        <family val="2"/>
      </rPr>
      <t xml:space="preserve">집행 불가 항목</t>
    </r>
    <r>
      <rPr>
        <sz val="10"/>
        <color rgb="FF44565C"/>
        <rFont val="맑은 고딕"/>
        <family val="0"/>
        <charset val="1"/>
      </rPr>
      <t xml:space="preserve">)</t>
    </r>
  </si>
  <si>
    <r>
      <rPr>
        <b val="true"/>
        <sz val="10"/>
        <color rgb="FF0B3C49"/>
        <rFont val="맑은 고딕"/>
        <family val="0"/>
        <charset val="1"/>
      </rPr>
      <t xml:space="preserve">2</t>
    </r>
    <r>
      <rPr>
        <b val="true"/>
        <sz val="10"/>
        <color rgb="FF0B3C49"/>
        <rFont val="Noto Sans CJK SC"/>
        <family val="2"/>
      </rPr>
      <t xml:space="preserve">단계</t>
    </r>
  </si>
  <si>
    <r>
      <rPr>
        <sz val="10"/>
        <color rgb="FF44565C"/>
        <rFont val="맑은 고딕"/>
        <family val="0"/>
        <charset val="1"/>
      </rPr>
      <t xml:space="preserve">[</t>
    </r>
    <r>
      <rPr>
        <sz val="10"/>
        <color rgb="FF44565C"/>
        <rFont val="Noto Sans CJK SC"/>
        <family val="2"/>
      </rPr>
      <t xml:space="preserve">검산점검</t>
    </r>
    <r>
      <rPr>
        <sz val="10"/>
        <color rgb="FF44565C"/>
        <rFont val="맑은 고딕"/>
        <family val="0"/>
        <charset val="1"/>
      </rPr>
      <t xml:space="preserve">] </t>
    </r>
    <r>
      <rPr>
        <sz val="10"/>
        <color rgb="FF44565C"/>
        <rFont val="Noto Sans CJK SC"/>
        <family val="2"/>
      </rPr>
      <t xml:space="preserve">시트의 노란 칸에 총사업비</t>
    </r>
    <r>
      <rPr>
        <sz val="10"/>
        <color rgb="FF44565C"/>
        <rFont val="맑은 고딕"/>
        <family val="0"/>
        <charset val="1"/>
      </rPr>
      <t xml:space="preserve">·</t>
    </r>
    <r>
      <rPr>
        <sz val="10"/>
        <color rgb="FF44565C"/>
        <rFont val="Noto Sans CJK SC"/>
        <family val="2"/>
      </rPr>
      <t xml:space="preserve">기준 비율을 입력합니다</t>
    </r>
    <r>
      <rPr>
        <sz val="10"/>
        <color rgb="FF44565C"/>
        <rFont val="맑은 고딕"/>
        <family val="0"/>
        <charset val="1"/>
      </rPr>
      <t xml:space="preserve">.</t>
    </r>
  </si>
  <si>
    <r>
      <rPr>
        <b val="true"/>
        <sz val="10"/>
        <color rgb="FF0B3C49"/>
        <rFont val="맑은 고딕"/>
        <family val="0"/>
        <charset val="1"/>
      </rPr>
      <t xml:space="preserve">3</t>
    </r>
    <r>
      <rPr>
        <b val="true"/>
        <sz val="10"/>
        <color rgb="FF0B3C49"/>
        <rFont val="Noto Sans CJK SC"/>
        <family val="2"/>
      </rPr>
      <t xml:space="preserve">단계</t>
    </r>
  </si>
  <si>
    <r>
      <rPr>
        <sz val="10"/>
        <color rgb="FF44565C"/>
        <rFont val="맑은 고딕"/>
        <family val="0"/>
        <charset val="1"/>
      </rPr>
      <t xml:space="preserve">[</t>
    </r>
    <r>
      <rPr>
        <sz val="10"/>
        <color rgb="FF44565C"/>
        <rFont val="Noto Sans CJK SC"/>
        <family val="2"/>
      </rPr>
      <t xml:space="preserve">산출근거입력</t>
    </r>
    <r>
      <rPr>
        <sz val="10"/>
        <color rgb="FF44565C"/>
        <rFont val="맑은 고딕"/>
        <family val="0"/>
        <charset val="1"/>
      </rPr>
      <t xml:space="preserve">] </t>
    </r>
    <r>
      <rPr>
        <sz val="10"/>
        <color rgb="FF44565C"/>
        <rFont val="Noto Sans CJK SC"/>
        <family val="2"/>
      </rPr>
      <t xml:space="preserve">시트에 세부 항목을 한 줄씩 입력합니다</t>
    </r>
    <r>
      <rPr>
        <sz val="10"/>
        <color rgb="FF44565C"/>
        <rFont val="맑은 고딕"/>
        <family val="0"/>
        <charset val="1"/>
      </rPr>
      <t xml:space="preserve">. </t>
    </r>
    <r>
      <rPr>
        <sz val="10"/>
        <color rgb="FF44565C"/>
        <rFont val="Noto Sans CJK SC"/>
        <family val="2"/>
      </rPr>
      <t xml:space="preserve">금액은 </t>
    </r>
    <r>
      <rPr>
        <sz val="10"/>
        <color rgb="FF44565C"/>
        <rFont val="맑은 고딕"/>
        <family val="0"/>
        <charset val="1"/>
      </rPr>
      <t xml:space="preserve">'</t>
    </r>
    <r>
      <rPr>
        <sz val="10"/>
        <color rgb="FF44565C"/>
        <rFont val="Noto Sans CJK SC"/>
        <family val="2"/>
      </rPr>
      <t xml:space="preserve">단가 </t>
    </r>
    <r>
      <rPr>
        <sz val="10"/>
        <color rgb="FF44565C"/>
        <rFont val="맑은 고딕"/>
        <family val="0"/>
        <charset val="1"/>
      </rPr>
      <t xml:space="preserve">× </t>
    </r>
    <r>
      <rPr>
        <sz val="10"/>
        <color rgb="FF44565C"/>
        <rFont val="Noto Sans CJK SC"/>
        <family val="2"/>
      </rPr>
      <t xml:space="preserve">수량 </t>
    </r>
    <r>
      <rPr>
        <sz val="10"/>
        <color rgb="FF44565C"/>
        <rFont val="맑은 고딕"/>
        <family val="0"/>
        <charset val="1"/>
      </rPr>
      <t xml:space="preserve">× </t>
    </r>
    <r>
      <rPr>
        <sz val="10"/>
        <color rgb="FF44565C"/>
        <rFont val="Noto Sans CJK SC"/>
        <family val="2"/>
      </rPr>
      <t xml:space="preserve">횟수</t>
    </r>
    <r>
      <rPr>
        <sz val="10"/>
        <color rgb="FF44565C"/>
        <rFont val="맑은 고딕"/>
        <family val="0"/>
        <charset val="1"/>
      </rPr>
      <t xml:space="preserve">'</t>
    </r>
    <r>
      <rPr>
        <sz val="10"/>
        <color rgb="FF44565C"/>
        <rFont val="Noto Sans CJK SC"/>
        <family val="2"/>
      </rPr>
      <t xml:space="preserve">로 자동 계산됩니다</t>
    </r>
    <r>
      <rPr>
        <sz val="10"/>
        <color rgb="FF44565C"/>
        <rFont val="맑은 고딕"/>
        <family val="0"/>
        <charset val="1"/>
      </rPr>
      <t xml:space="preserve">.</t>
    </r>
  </si>
  <si>
    <r>
      <rPr>
        <b val="true"/>
        <sz val="10"/>
        <color rgb="FF0B3C49"/>
        <rFont val="맑은 고딕"/>
        <family val="0"/>
        <charset val="1"/>
      </rPr>
      <t xml:space="preserve">4</t>
    </r>
    <r>
      <rPr>
        <b val="true"/>
        <sz val="10"/>
        <color rgb="FF0B3C49"/>
        <rFont val="Noto Sans CJK SC"/>
        <family val="2"/>
      </rPr>
      <t xml:space="preserve">단계</t>
    </r>
  </si>
  <si>
    <r>
      <rPr>
        <sz val="10"/>
        <color rgb="FF44565C"/>
        <rFont val="맑은 고딕"/>
        <family val="0"/>
        <charset val="1"/>
      </rPr>
      <t xml:space="preserve">[</t>
    </r>
    <r>
      <rPr>
        <sz val="10"/>
        <color rgb="FF44565C"/>
        <rFont val="Noto Sans CJK SC"/>
        <family val="2"/>
      </rPr>
      <t xml:space="preserve">예산총괄표</t>
    </r>
    <r>
      <rPr>
        <sz val="10"/>
        <color rgb="FF44565C"/>
        <rFont val="맑은 고딕"/>
        <family val="0"/>
        <charset val="1"/>
      </rPr>
      <t xml:space="preserve">] </t>
    </r>
    <r>
      <rPr>
        <sz val="10"/>
        <color rgb="FF44565C"/>
        <rFont val="Noto Sans CJK SC"/>
        <family val="2"/>
      </rPr>
      <t xml:space="preserve">시트에서 비목별</t>
    </r>
    <r>
      <rPr>
        <sz val="10"/>
        <color rgb="FF44565C"/>
        <rFont val="맑은 고딕"/>
        <family val="0"/>
        <charset val="1"/>
      </rPr>
      <t xml:space="preserve">·</t>
    </r>
    <r>
      <rPr>
        <sz val="10"/>
        <color rgb="FF44565C"/>
        <rFont val="Noto Sans CJK SC"/>
        <family val="2"/>
      </rPr>
      <t xml:space="preserve">재원별 집계와 비율이 자동으로 산출됩니다</t>
    </r>
    <r>
      <rPr>
        <sz val="10"/>
        <color rgb="FF44565C"/>
        <rFont val="맑은 고딕"/>
        <family val="0"/>
        <charset val="1"/>
      </rPr>
      <t xml:space="preserve">.</t>
    </r>
  </si>
  <si>
    <r>
      <rPr>
        <b val="true"/>
        <sz val="10"/>
        <color rgb="FF0B3C49"/>
        <rFont val="맑은 고딕"/>
        <family val="0"/>
        <charset val="1"/>
      </rPr>
      <t xml:space="preserve">5</t>
    </r>
    <r>
      <rPr>
        <b val="true"/>
        <sz val="10"/>
        <color rgb="FF0B3C49"/>
        <rFont val="Noto Sans CJK SC"/>
        <family val="2"/>
      </rPr>
      <t xml:space="preserve">단계</t>
    </r>
  </si>
  <si>
    <r>
      <rPr>
        <sz val="10"/>
        <color rgb="FF44565C"/>
        <rFont val="맑은 고딕"/>
        <family val="0"/>
        <charset val="1"/>
      </rPr>
      <t xml:space="preserve">[</t>
    </r>
    <r>
      <rPr>
        <sz val="10"/>
        <color rgb="FF44565C"/>
        <rFont val="Noto Sans CJK SC"/>
        <family val="2"/>
      </rPr>
      <t xml:space="preserve">검산점검</t>
    </r>
    <r>
      <rPr>
        <sz val="10"/>
        <color rgb="FF44565C"/>
        <rFont val="맑은 고딕"/>
        <family val="0"/>
        <charset val="1"/>
      </rPr>
      <t xml:space="preserve">] </t>
    </r>
    <r>
      <rPr>
        <sz val="10"/>
        <color rgb="FF44565C"/>
        <rFont val="Noto Sans CJK SC"/>
        <family val="2"/>
      </rPr>
      <t xml:space="preserve">시트에서 모든 항목이 </t>
    </r>
    <r>
      <rPr>
        <sz val="10"/>
        <color rgb="FF44565C"/>
        <rFont val="맑은 고딕"/>
        <family val="0"/>
        <charset val="1"/>
      </rPr>
      <t xml:space="preserve">'</t>
    </r>
    <r>
      <rPr>
        <sz val="10"/>
        <color rgb="FF44565C"/>
        <rFont val="Noto Sans CJK SC"/>
        <family val="2"/>
      </rPr>
      <t xml:space="preserve">적합</t>
    </r>
    <r>
      <rPr>
        <sz val="10"/>
        <color rgb="FF44565C"/>
        <rFont val="맑은 고딕"/>
        <family val="0"/>
        <charset val="1"/>
      </rPr>
      <t xml:space="preserve">'</t>
    </r>
    <r>
      <rPr>
        <sz val="10"/>
        <color rgb="FF44565C"/>
        <rFont val="Noto Sans CJK SC"/>
        <family val="2"/>
      </rPr>
      <t xml:space="preserve">인지 확인한 뒤 계획서에 옮겨 적습니다</t>
    </r>
    <r>
      <rPr>
        <sz val="10"/>
        <color rgb="FF44565C"/>
        <rFont val="맑은 고딕"/>
        <family val="0"/>
        <charset val="1"/>
      </rPr>
      <t xml:space="preserve">.</t>
    </r>
  </si>
  <si>
    <t xml:space="preserve">색상 범례</t>
  </si>
  <si>
    <t xml:space="preserve">노란색 칸</t>
  </si>
  <si>
    <r>
      <rPr>
        <sz val="10"/>
        <color rgb="FF44565C"/>
        <rFont val="Noto Sans CJK SC"/>
        <family val="2"/>
      </rPr>
      <t xml:space="preserve">직접 입력하는 칸입니다</t>
    </r>
    <r>
      <rPr>
        <sz val="10"/>
        <color rgb="FF44565C"/>
        <rFont val="맑은 고딕"/>
        <family val="0"/>
        <charset val="1"/>
      </rPr>
      <t xml:space="preserve">. (</t>
    </r>
    <r>
      <rPr>
        <sz val="10"/>
        <color rgb="FF44565C"/>
        <rFont val="Noto Sans CJK SC"/>
        <family val="2"/>
      </rPr>
      <t xml:space="preserve">파란 글씨 </t>
    </r>
    <r>
      <rPr>
        <sz val="10"/>
        <color rgb="FF44565C"/>
        <rFont val="맑은 고딕"/>
        <family val="0"/>
        <charset val="1"/>
      </rPr>
      <t xml:space="preserve">= </t>
    </r>
    <r>
      <rPr>
        <sz val="10"/>
        <color rgb="FF44565C"/>
        <rFont val="Noto Sans CJK SC"/>
        <family val="2"/>
      </rPr>
      <t xml:space="preserve">사용자가 입력한 값</t>
    </r>
    <r>
      <rPr>
        <sz val="10"/>
        <color rgb="FF44565C"/>
        <rFont val="맑은 고딕"/>
        <family val="0"/>
        <charset val="1"/>
      </rPr>
      <t xml:space="preserve">)</t>
    </r>
  </si>
  <si>
    <t xml:space="preserve">흰색 칸</t>
  </si>
  <si>
    <r>
      <rPr>
        <sz val="10"/>
        <color rgb="FF44565C"/>
        <rFont val="Noto Sans CJK SC"/>
        <family val="2"/>
      </rPr>
      <t xml:space="preserve">수식이 자동 계산하는 칸입니다</t>
    </r>
    <r>
      <rPr>
        <sz val="10"/>
        <color rgb="FF44565C"/>
        <rFont val="맑은 고딕"/>
        <family val="0"/>
        <charset val="1"/>
      </rPr>
      <t xml:space="preserve">. </t>
    </r>
    <r>
      <rPr>
        <sz val="10"/>
        <color rgb="FF44565C"/>
        <rFont val="Noto Sans CJK SC"/>
        <family val="2"/>
      </rPr>
      <t xml:space="preserve">덮어쓰지 마세요</t>
    </r>
    <r>
      <rPr>
        <sz val="10"/>
        <color rgb="FF44565C"/>
        <rFont val="맑은 고딕"/>
        <family val="0"/>
        <charset val="1"/>
      </rPr>
      <t xml:space="preserve">.</t>
    </r>
  </si>
  <si>
    <t xml:space="preserve">핵심 원칙</t>
  </si>
  <si>
    <r>
      <rPr>
        <b val="true"/>
        <sz val="10"/>
        <color rgb="FF0B3C49"/>
        <rFont val="Noto Sans CJK SC"/>
        <family val="2"/>
      </rPr>
      <t xml:space="preserve">원칙 </t>
    </r>
    <r>
      <rPr>
        <b val="true"/>
        <sz val="10"/>
        <color rgb="FF0B3C49"/>
        <rFont val="맑은 고딕"/>
        <family val="0"/>
        <charset val="1"/>
      </rPr>
      <t xml:space="preserve">1</t>
    </r>
  </si>
  <si>
    <r>
      <rPr>
        <sz val="10"/>
        <color rgb="FF44565C"/>
        <rFont val="Noto Sans CJK SC"/>
        <family val="2"/>
      </rPr>
      <t xml:space="preserve">모든 금액은 </t>
    </r>
    <r>
      <rPr>
        <sz val="10"/>
        <color rgb="FF44565C"/>
        <rFont val="맑은 고딕"/>
        <family val="0"/>
        <charset val="1"/>
      </rPr>
      <t xml:space="preserve">'</t>
    </r>
    <r>
      <rPr>
        <sz val="10"/>
        <color rgb="FF44565C"/>
        <rFont val="Noto Sans CJK SC"/>
        <family val="2"/>
      </rPr>
      <t xml:space="preserve">단가 </t>
    </r>
    <r>
      <rPr>
        <sz val="10"/>
        <color rgb="FF44565C"/>
        <rFont val="맑은 고딕"/>
        <family val="0"/>
        <charset val="1"/>
      </rPr>
      <t xml:space="preserve">× </t>
    </r>
    <r>
      <rPr>
        <sz val="10"/>
        <color rgb="FF44565C"/>
        <rFont val="Noto Sans CJK SC"/>
        <family val="2"/>
      </rPr>
      <t xml:space="preserve">수량 </t>
    </r>
    <r>
      <rPr>
        <sz val="10"/>
        <color rgb="FF44565C"/>
        <rFont val="맑은 고딕"/>
        <family val="0"/>
        <charset val="1"/>
      </rPr>
      <t xml:space="preserve">× </t>
    </r>
    <r>
      <rPr>
        <sz val="10"/>
        <color rgb="FF44565C"/>
        <rFont val="Noto Sans CJK SC"/>
        <family val="2"/>
      </rPr>
      <t xml:space="preserve">횟수</t>
    </r>
    <r>
      <rPr>
        <sz val="10"/>
        <color rgb="FF44565C"/>
        <rFont val="맑은 고딕"/>
        <family val="0"/>
        <charset val="1"/>
      </rPr>
      <t xml:space="preserve">'</t>
    </r>
    <r>
      <rPr>
        <sz val="10"/>
        <color rgb="FF44565C"/>
        <rFont val="Noto Sans CJK SC"/>
        <family val="2"/>
      </rPr>
      <t xml:space="preserve">로 분해합니다</t>
    </r>
    <r>
      <rPr>
        <sz val="10"/>
        <color rgb="FF44565C"/>
        <rFont val="맑은 고딕"/>
        <family val="0"/>
        <charset val="1"/>
      </rPr>
      <t xml:space="preserve">. </t>
    </r>
    <r>
      <rPr>
        <sz val="10"/>
        <color rgb="FF44565C"/>
        <rFont val="Noto Sans CJK SC"/>
        <family val="2"/>
      </rPr>
      <t xml:space="preserve">뭉뚱그린 총액은 감액 </t>
    </r>
    <r>
      <rPr>
        <sz val="10"/>
        <color rgb="FF44565C"/>
        <rFont val="맑은 고딕"/>
        <family val="0"/>
        <charset val="1"/>
      </rPr>
      <t xml:space="preserve">1</t>
    </r>
    <r>
      <rPr>
        <sz val="10"/>
        <color rgb="FF44565C"/>
        <rFont val="Noto Sans CJK SC"/>
        <family val="2"/>
      </rPr>
      <t xml:space="preserve">순위입니다</t>
    </r>
    <r>
      <rPr>
        <sz val="10"/>
        <color rgb="FF44565C"/>
        <rFont val="맑은 고딕"/>
        <family val="0"/>
        <charset val="1"/>
      </rPr>
      <t xml:space="preserve">.</t>
    </r>
  </si>
  <si>
    <r>
      <rPr>
        <b val="true"/>
        <sz val="10"/>
        <color rgb="FF0B3C49"/>
        <rFont val="Noto Sans CJK SC"/>
        <family val="2"/>
      </rPr>
      <t xml:space="preserve">원칙 </t>
    </r>
    <r>
      <rPr>
        <b val="true"/>
        <sz val="10"/>
        <color rgb="FF0B3C49"/>
        <rFont val="맑은 고딕"/>
        <family val="0"/>
        <charset val="1"/>
      </rPr>
      <t xml:space="preserve">2</t>
    </r>
  </si>
  <si>
    <r>
      <rPr>
        <sz val="10"/>
        <color rgb="FF44565C"/>
        <rFont val="Noto Sans CJK SC"/>
        <family val="2"/>
      </rPr>
      <t xml:space="preserve">단가에는 근거가 있어야 합니다</t>
    </r>
    <r>
      <rPr>
        <sz val="10"/>
        <color rgb="FF44565C"/>
        <rFont val="맑은 고딕"/>
        <family val="0"/>
        <charset val="1"/>
      </rPr>
      <t xml:space="preserve">. (</t>
    </r>
    <r>
      <rPr>
        <sz val="10"/>
        <color rgb="FF44565C"/>
        <rFont val="Noto Sans CJK SC"/>
        <family val="2"/>
      </rPr>
      <t xml:space="preserve">기관 강사비 지급기준</t>
    </r>
    <r>
      <rPr>
        <sz val="10"/>
        <color rgb="FF44565C"/>
        <rFont val="맑은 고딕"/>
        <family val="0"/>
        <charset val="1"/>
      </rPr>
      <t xml:space="preserve">, </t>
    </r>
    <r>
      <rPr>
        <sz val="10"/>
        <color rgb="FF44565C"/>
        <rFont val="Noto Sans CJK SC"/>
        <family val="2"/>
      </rPr>
      <t xml:space="preserve">공무원 여비 규정</t>
    </r>
    <r>
      <rPr>
        <sz val="10"/>
        <color rgb="FF44565C"/>
        <rFont val="맑은 고딕"/>
        <family val="0"/>
        <charset val="1"/>
      </rPr>
      <t xml:space="preserve">, </t>
    </r>
    <r>
      <rPr>
        <sz val="10"/>
        <color rgb="FF44565C"/>
        <rFont val="Noto Sans CJK SC"/>
        <family val="2"/>
      </rPr>
      <t xml:space="preserve">견적서 등</t>
    </r>
    <r>
      <rPr>
        <sz val="10"/>
        <color rgb="FF44565C"/>
        <rFont val="맑은 고딕"/>
        <family val="0"/>
        <charset val="1"/>
      </rPr>
      <t xml:space="preserve">) → [</t>
    </r>
    <r>
      <rPr>
        <sz val="10"/>
        <color rgb="FF44565C"/>
        <rFont val="Noto Sans CJK SC"/>
        <family val="2"/>
      </rPr>
      <t xml:space="preserve">단가참고</t>
    </r>
    <r>
      <rPr>
        <sz val="10"/>
        <color rgb="FF44565C"/>
        <rFont val="맑은 고딕"/>
        <family val="0"/>
        <charset val="1"/>
      </rPr>
      <t xml:space="preserve">] </t>
    </r>
    <r>
      <rPr>
        <sz val="10"/>
        <color rgb="FF44565C"/>
        <rFont val="Noto Sans CJK SC"/>
        <family val="2"/>
      </rPr>
      <t xml:space="preserve">시트</t>
    </r>
  </si>
  <si>
    <r>
      <rPr>
        <b val="true"/>
        <sz val="10"/>
        <color rgb="FF0B3C49"/>
        <rFont val="Noto Sans CJK SC"/>
        <family val="2"/>
      </rPr>
      <t xml:space="preserve">원칙 </t>
    </r>
    <r>
      <rPr>
        <b val="true"/>
        <sz val="10"/>
        <color rgb="FF0B3C49"/>
        <rFont val="맑은 고딕"/>
        <family val="0"/>
        <charset val="1"/>
      </rPr>
      <t xml:space="preserve">3</t>
    </r>
  </si>
  <si>
    <r>
      <rPr>
        <sz val="10"/>
        <color rgb="FF44565C"/>
        <rFont val="Noto Sans CJK SC"/>
        <family val="2"/>
      </rPr>
      <t xml:space="preserve">사업계획서 본문에 없는 항목에는 예산을 잡지 않습니다</t>
    </r>
    <r>
      <rPr>
        <sz val="10"/>
        <color rgb="FF44565C"/>
        <rFont val="맑은 고딕"/>
        <family val="0"/>
        <charset val="1"/>
      </rPr>
      <t xml:space="preserve">. </t>
    </r>
    <r>
      <rPr>
        <sz val="10"/>
        <color rgb="FF44565C"/>
        <rFont val="Noto Sans CJK SC"/>
        <family val="2"/>
      </rPr>
      <t xml:space="preserve">목차와 예산 항목은 </t>
    </r>
    <r>
      <rPr>
        <sz val="10"/>
        <color rgb="FF44565C"/>
        <rFont val="맑은 고딕"/>
        <family val="0"/>
        <charset val="1"/>
      </rPr>
      <t xml:space="preserve">1:1</t>
    </r>
    <r>
      <rPr>
        <sz val="10"/>
        <color rgb="FF44565C"/>
        <rFont val="Noto Sans CJK SC"/>
        <family val="2"/>
      </rPr>
      <t xml:space="preserve">로 대응해야 합니다</t>
    </r>
    <r>
      <rPr>
        <sz val="10"/>
        <color rgb="FF44565C"/>
        <rFont val="맑은 고딕"/>
        <family val="0"/>
        <charset val="1"/>
      </rPr>
      <t xml:space="preserve">.</t>
    </r>
  </si>
  <si>
    <r>
      <rPr>
        <b val="true"/>
        <sz val="10"/>
        <color rgb="FF0B3C49"/>
        <rFont val="Noto Sans CJK SC"/>
        <family val="2"/>
      </rPr>
      <t xml:space="preserve">원칙 </t>
    </r>
    <r>
      <rPr>
        <b val="true"/>
        <sz val="10"/>
        <color rgb="FF0B3C49"/>
        <rFont val="맑은 고딕"/>
        <family val="0"/>
        <charset val="1"/>
      </rPr>
      <t xml:space="preserve">4</t>
    </r>
  </si>
  <si>
    <r>
      <rPr>
        <sz val="10"/>
        <color rgb="FF44565C"/>
        <rFont val="Noto Sans CJK SC"/>
        <family val="2"/>
      </rPr>
      <t xml:space="preserve">자부담</t>
    </r>
    <r>
      <rPr>
        <sz val="10"/>
        <color rgb="FF44565C"/>
        <rFont val="맑은 고딕"/>
        <family val="0"/>
        <charset val="1"/>
      </rPr>
      <t xml:space="preserve">(</t>
    </r>
    <r>
      <rPr>
        <sz val="10"/>
        <color rgb="FF44565C"/>
        <rFont val="Noto Sans CJK SC"/>
        <family val="2"/>
      </rPr>
      <t xml:space="preserve">현금</t>
    </r>
    <r>
      <rPr>
        <sz val="10"/>
        <color rgb="FF44565C"/>
        <rFont val="맑은 고딕"/>
        <family val="0"/>
        <charset val="1"/>
      </rPr>
      <t xml:space="preserve">)</t>
    </r>
    <r>
      <rPr>
        <sz val="10"/>
        <color rgb="FF44565C"/>
        <rFont val="Noto Sans CJK SC"/>
        <family val="2"/>
      </rPr>
      <t xml:space="preserve">과 현물</t>
    </r>
    <r>
      <rPr>
        <sz val="10"/>
        <color rgb="FF44565C"/>
        <rFont val="맑은 고딕"/>
        <family val="0"/>
        <charset val="1"/>
      </rPr>
      <t xml:space="preserve">(</t>
    </r>
    <r>
      <rPr>
        <sz val="10"/>
        <color rgb="FF44565C"/>
        <rFont val="Noto Sans CJK SC"/>
        <family val="2"/>
      </rPr>
      <t xml:space="preserve">공간</t>
    </r>
    <r>
      <rPr>
        <sz val="10"/>
        <color rgb="FF44565C"/>
        <rFont val="맑은 고딕"/>
        <family val="0"/>
        <charset val="1"/>
      </rPr>
      <t xml:space="preserve">·</t>
    </r>
    <r>
      <rPr>
        <sz val="10"/>
        <color rgb="FF44565C"/>
        <rFont val="Noto Sans CJK SC"/>
        <family val="2"/>
      </rPr>
      <t xml:space="preserve">인력 환산</t>
    </r>
    <r>
      <rPr>
        <sz val="10"/>
        <color rgb="FF44565C"/>
        <rFont val="맑은 고딕"/>
        <family val="0"/>
        <charset val="1"/>
      </rPr>
      <t xml:space="preserve">)</t>
    </r>
    <r>
      <rPr>
        <sz val="10"/>
        <color rgb="FF44565C"/>
        <rFont val="Noto Sans CJK SC"/>
        <family val="2"/>
      </rPr>
      <t xml:space="preserve">을 명시하면 같은 금액이라도 실행 의지로 평가됩니다</t>
    </r>
    <r>
      <rPr>
        <sz val="10"/>
        <color rgb="FF44565C"/>
        <rFont val="맑은 고딕"/>
        <family val="0"/>
        <charset val="1"/>
      </rPr>
      <t xml:space="preserve">.</t>
    </r>
  </si>
  <si>
    <r>
      <rPr>
        <b val="true"/>
        <sz val="10"/>
        <color rgb="FF0B3C49"/>
        <rFont val="Noto Sans CJK SC"/>
        <family val="2"/>
      </rPr>
      <t xml:space="preserve">원칙 </t>
    </r>
    <r>
      <rPr>
        <b val="true"/>
        <sz val="10"/>
        <color rgb="FF0B3C49"/>
        <rFont val="맑은 고딕"/>
        <family val="0"/>
        <charset val="1"/>
      </rPr>
      <t xml:space="preserve">5</t>
    </r>
  </si>
  <si>
    <r>
      <rPr>
        <sz val="10"/>
        <color rgb="FF44565C"/>
        <rFont val="Noto Sans CJK SC"/>
        <family val="2"/>
      </rPr>
      <t xml:space="preserve">합계가 총사업비와 </t>
    </r>
    <r>
      <rPr>
        <sz val="10"/>
        <color rgb="FF44565C"/>
        <rFont val="맑은 고딕"/>
        <family val="0"/>
        <charset val="1"/>
      </rPr>
      <t xml:space="preserve">1</t>
    </r>
    <r>
      <rPr>
        <sz val="10"/>
        <color rgb="FF44565C"/>
        <rFont val="Noto Sans CJK SC"/>
        <family val="2"/>
      </rPr>
      <t xml:space="preserve">원이라도 어긋나면 신뢰도 전체가 흔들립니다</t>
    </r>
    <r>
      <rPr>
        <sz val="10"/>
        <color rgb="FF44565C"/>
        <rFont val="맑은 고딕"/>
        <family val="0"/>
        <charset val="1"/>
      </rPr>
      <t xml:space="preserve">. </t>
    </r>
    <r>
      <rPr>
        <sz val="10"/>
        <color rgb="FF44565C"/>
        <rFont val="Noto Sans CJK SC"/>
        <family val="2"/>
      </rPr>
      <t xml:space="preserve">제출 전 반드시 검산하세요</t>
    </r>
    <r>
      <rPr>
        <sz val="10"/>
        <color rgb="FF44565C"/>
        <rFont val="맑은 고딕"/>
        <family val="0"/>
        <charset val="1"/>
      </rPr>
      <t xml:space="preserve">.</t>
    </r>
  </si>
  <si>
    <t xml:space="preserve">비목 추가 방법</t>
  </si>
  <si>
    <r>
      <rPr>
        <sz val="10"/>
        <color rgb="FF44565C"/>
        <rFont val="맑은 고딕"/>
        <family val="0"/>
        <charset val="1"/>
      </rPr>
      <t xml:space="preserve">[</t>
    </r>
    <r>
      <rPr>
        <sz val="10"/>
        <color rgb="FF44565C"/>
        <rFont val="Noto Sans CJK SC"/>
        <family val="2"/>
      </rPr>
      <t xml:space="preserve">산출근거입력</t>
    </r>
    <r>
      <rPr>
        <sz val="10"/>
        <color rgb="FF44565C"/>
        <rFont val="맑은 고딕"/>
        <family val="0"/>
        <charset val="1"/>
      </rPr>
      <t xml:space="preserve">]</t>
    </r>
    <r>
      <rPr>
        <sz val="10"/>
        <color rgb="FF44565C"/>
        <rFont val="Noto Sans CJK SC"/>
        <family val="2"/>
      </rPr>
      <t xml:space="preserve">의 비목 칸은 드롭다운 목록에 없는 이름도 직접 입력할 수 있습니다</t>
    </r>
    <r>
      <rPr>
        <sz val="10"/>
        <color rgb="FF44565C"/>
        <rFont val="맑은 고딕"/>
        <family val="0"/>
        <charset val="1"/>
      </rPr>
      <t xml:space="preserve">.</t>
    </r>
  </si>
  <si>
    <r>
      <rPr>
        <sz val="10"/>
        <color rgb="FF44565C"/>
        <rFont val="Noto Sans CJK SC"/>
        <family val="2"/>
      </rPr>
      <t xml:space="preserve">직접 입력했다면 </t>
    </r>
    <r>
      <rPr>
        <sz val="10"/>
        <color rgb="FF44565C"/>
        <rFont val="맑은 고딕"/>
        <family val="0"/>
        <charset val="1"/>
      </rPr>
      <t xml:space="preserve">[</t>
    </r>
    <r>
      <rPr>
        <sz val="10"/>
        <color rgb="FF44565C"/>
        <rFont val="Noto Sans CJK SC"/>
        <family val="2"/>
      </rPr>
      <t xml:space="preserve">예산총괄표</t>
    </r>
    <r>
      <rPr>
        <sz val="10"/>
        <color rgb="FF44565C"/>
        <rFont val="맑은 고딕"/>
        <family val="0"/>
        <charset val="1"/>
      </rPr>
      <t xml:space="preserve">] 15~17</t>
    </r>
    <r>
      <rPr>
        <sz val="10"/>
        <color rgb="FF44565C"/>
        <rFont val="Noto Sans CJK SC"/>
        <family val="2"/>
      </rPr>
      <t xml:space="preserve">행 노란 칸에 </t>
    </r>
    <r>
      <rPr>
        <sz val="10"/>
        <color rgb="FF44565C"/>
        <rFont val="맑은 고딕"/>
        <family val="0"/>
        <charset val="1"/>
      </rPr>
      <t xml:space="preserve">'</t>
    </r>
    <r>
      <rPr>
        <sz val="10"/>
        <color rgb="FF44565C"/>
        <rFont val="Noto Sans CJK SC"/>
        <family val="2"/>
      </rPr>
      <t xml:space="preserve">같은 이름</t>
    </r>
    <r>
      <rPr>
        <sz val="10"/>
        <color rgb="FF44565C"/>
        <rFont val="맑은 고딕"/>
        <family val="0"/>
        <charset val="1"/>
      </rPr>
      <t xml:space="preserve">'</t>
    </r>
    <r>
      <rPr>
        <sz val="10"/>
        <color rgb="FF44565C"/>
        <rFont val="Noto Sans CJK SC"/>
        <family val="2"/>
      </rPr>
      <t xml:space="preserve">을 그대로 적어야 집계됩니다</t>
    </r>
    <r>
      <rPr>
        <sz val="10"/>
        <color rgb="FF44565C"/>
        <rFont val="맑은 고딕"/>
        <family val="0"/>
        <charset val="1"/>
      </rPr>
      <t xml:space="preserve">.</t>
    </r>
  </si>
  <si>
    <r>
      <rPr>
        <sz val="10"/>
        <color rgb="FF44565C"/>
        <rFont val="Noto Sans CJK SC"/>
        <family val="2"/>
      </rPr>
      <t xml:space="preserve">적지 않으면 그 금액은 총괄표에서 사라집니다</t>
    </r>
    <r>
      <rPr>
        <sz val="10"/>
        <color rgb="FF44565C"/>
        <rFont val="맑은 고딕"/>
        <family val="0"/>
        <charset val="1"/>
      </rPr>
      <t xml:space="preserve">. [</t>
    </r>
    <r>
      <rPr>
        <sz val="10"/>
        <color rgb="FF44565C"/>
        <rFont val="Noto Sans CJK SC"/>
        <family val="2"/>
      </rPr>
      <t xml:space="preserve">검산점검</t>
    </r>
    <r>
      <rPr>
        <sz val="10"/>
        <color rgb="FF44565C"/>
        <rFont val="맑은 고딕"/>
        <family val="0"/>
        <charset val="1"/>
      </rPr>
      <t xml:space="preserve">] </t>
    </r>
    <r>
      <rPr>
        <sz val="10"/>
        <color rgb="FF44565C"/>
        <rFont val="Noto Sans CJK SC"/>
        <family val="2"/>
      </rPr>
      <t xml:space="preserve">첫 항목이 이를 자동으로 잡아냅니다</t>
    </r>
    <r>
      <rPr>
        <sz val="10"/>
        <color rgb="FF44565C"/>
        <rFont val="맑은 고딕"/>
        <family val="0"/>
        <charset val="1"/>
      </rPr>
      <t xml:space="preserve">.</t>
    </r>
  </si>
  <si>
    <r>
      <rPr>
        <b val="true"/>
        <sz val="14"/>
        <color rgb="FF0B3C49"/>
        <rFont val="Noto Sans CJK SC"/>
        <family val="2"/>
      </rPr>
      <t xml:space="preserve">① 산출근거 입력  </t>
    </r>
    <r>
      <rPr>
        <b val="true"/>
        <sz val="14"/>
        <color rgb="FF0B3C49"/>
        <rFont val="맑은 고딕"/>
        <family val="0"/>
        <charset val="1"/>
      </rPr>
      <t xml:space="preserve">(</t>
    </r>
    <r>
      <rPr>
        <b val="true"/>
        <sz val="14"/>
        <color rgb="FF0B3C49"/>
        <rFont val="Noto Sans CJK SC"/>
        <family val="2"/>
      </rPr>
      <t xml:space="preserve">노란 칸에 한 줄씩 입력하세요</t>
    </r>
    <r>
      <rPr>
        <b val="true"/>
        <sz val="14"/>
        <color rgb="FF0B3C49"/>
        <rFont val="맑은 고딕"/>
        <family val="0"/>
        <charset val="1"/>
      </rPr>
      <t xml:space="preserve">)</t>
    </r>
  </si>
  <si>
    <r>
      <rPr>
        <sz val="9"/>
        <color rgb="FFC9553D"/>
        <rFont val="Noto Sans CJK SC"/>
        <family val="2"/>
      </rPr>
      <t xml:space="preserve">금액</t>
    </r>
    <r>
      <rPr>
        <sz val="9"/>
        <color rgb="FFC9553D"/>
        <rFont val="맑은 고딕"/>
        <family val="0"/>
        <charset val="1"/>
      </rPr>
      <t xml:space="preserve">(G</t>
    </r>
    <r>
      <rPr>
        <sz val="9"/>
        <color rgb="FFC9553D"/>
        <rFont val="Noto Sans CJK SC"/>
        <family val="2"/>
      </rPr>
      <t xml:space="preserve">열</t>
    </r>
    <r>
      <rPr>
        <sz val="9"/>
        <color rgb="FFC9553D"/>
        <rFont val="맑은 고딕"/>
        <family val="0"/>
        <charset val="1"/>
      </rPr>
      <t xml:space="preserve">)</t>
    </r>
    <r>
      <rPr>
        <sz val="9"/>
        <color rgb="FFC9553D"/>
        <rFont val="Noto Sans CJK SC"/>
        <family val="2"/>
      </rPr>
      <t xml:space="preserve">은 단가 </t>
    </r>
    <r>
      <rPr>
        <sz val="9"/>
        <color rgb="FFC9553D"/>
        <rFont val="맑은 고딕"/>
        <family val="0"/>
        <charset val="1"/>
      </rPr>
      <t xml:space="preserve">× </t>
    </r>
    <r>
      <rPr>
        <sz val="9"/>
        <color rgb="FFC9553D"/>
        <rFont val="Noto Sans CJK SC"/>
        <family val="2"/>
      </rPr>
      <t xml:space="preserve">수량 </t>
    </r>
    <r>
      <rPr>
        <sz val="9"/>
        <color rgb="FFC9553D"/>
        <rFont val="맑은 고딕"/>
        <family val="0"/>
        <charset val="1"/>
      </rPr>
      <t xml:space="preserve">× </t>
    </r>
    <r>
      <rPr>
        <sz val="9"/>
        <color rgb="FFC9553D"/>
        <rFont val="Noto Sans CJK SC"/>
        <family val="2"/>
      </rPr>
      <t xml:space="preserve">횟수로 자동 계산됩니다</t>
    </r>
    <r>
      <rPr>
        <sz val="9"/>
        <color rgb="FFC9553D"/>
        <rFont val="맑은 고딕"/>
        <family val="0"/>
        <charset val="1"/>
      </rPr>
      <t xml:space="preserve">. 4~8</t>
    </r>
    <r>
      <rPr>
        <sz val="9"/>
        <color rgb="FFC9553D"/>
        <rFont val="Noto Sans CJK SC"/>
        <family val="2"/>
      </rPr>
      <t xml:space="preserve">행은 작성 예시이며</t>
    </r>
    <r>
      <rPr>
        <sz val="9"/>
        <color rgb="FFC9553D"/>
        <rFont val="맑은 고딕"/>
        <family val="0"/>
        <charset val="1"/>
      </rPr>
      <t xml:space="preserve">, </t>
    </r>
    <r>
      <rPr>
        <sz val="9"/>
        <color rgb="FFC9553D"/>
        <rFont val="Noto Sans CJK SC"/>
        <family val="2"/>
      </rPr>
      <t xml:space="preserve">실제 작성 시 지우고 사용하세요</t>
    </r>
    <r>
      <rPr>
        <sz val="9"/>
        <color rgb="FFC9553D"/>
        <rFont val="맑은 고딕"/>
        <family val="0"/>
        <charset val="1"/>
      </rPr>
      <t xml:space="preserve">.</t>
    </r>
  </si>
  <si>
    <r>
      <rPr>
        <b val="true"/>
        <sz val="10"/>
        <color rgb="FFFFFFFF"/>
        <rFont val="Noto Sans CJK SC"/>
        <family val="2"/>
      </rPr>
      <t xml:space="preserve">비목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대분류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</si>
  <si>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세부 항목</t>
  </si>
  <si>
    <t xml:space="preserve">산출근거 설명</t>
  </si>
  <si>
    <r>
      <rPr>
        <b val="true"/>
        <sz val="10"/>
        <color rgb="FFFFFFFF"/>
        <rFont val="Noto Sans CJK SC"/>
        <family val="2"/>
      </rPr>
      <t xml:space="preserve">단가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</si>
  <si>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수량</t>
  </si>
  <si>
    <t xml:space="preserve">횟수</t>
  </si>
  <si>
    <r>
      <rPr>
        <b val="true"/>
        <sz val="10"/>
        <color rgb="FFFFFFFF"/>
        <rFont val="Noto Sans CJK SC"/>
        <family val="2"/>
      </rPr>
      <t xml:space="preserve">금액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</si>
  <si>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재원 구분</t>
  </si>
  <si>
    <t xml:space="preserve">비고</t>
  </si>
  <si>
    <t xml:space="preserve">강사비</t>
  </si>
  <si>
    <t xml:space="preserve">문화예술 강사료</t>
  </si>
  <si>
    <r>
      <rPr>
        <sz val="10"/>
        <color rgb="FF0000FF"/>
        <rFont val="맑은 고딕"/>
        <family val="0"/>
        <charset val="1"/>
      </rPr>
      <t xml:space="preserve">250,000</t>
    </r>
    <r>
      <rPr>
        <sz val="10"/>
        <color rgb="FF0000FF"/>
        <rFont val="Noto Sans CJK SC"/>
        <family val="2"/>
      </rPr>
      <t xml:space="preserve">원 </t>
    </r>
    <r>
      <rPr>
        <sz val="10"/>
        <color rgb="FF0000FF"/>
        <rFont val="맑은 고딕"/>
        <family val="0"/>
        <charset val="1"/>
      </rPr>
      <t xml:space="preserve">× 2</t>
    </r>
    <r>
      <rPr>
        <sz val="10"/>
        <color rgb="FF0000FF"/>
        <rFont val="Noto Sans CJK SC"/>
        <family val="2"/>
      </rPr>
      <t xml:space="preserve">명 </t>
    </r>
    <r>
      <rPr>
        <sz val="10"/>
        <color rgb="FF0000FF"/>
        <rFont val="맑은 고딕"/>
        <family val="0"/>
        <charset val="1"/>
      </rPr>
      <t xml:space="preserve">× 20</t>
    </r>
    <r>
      <rPr>
        <sz val="10"/>
        <color rgb="FF0000FF"/>
        <rFont val="Noto Sans CJK SC"/>
        <family val="2"/>
      </rPr>
      <t xml:space="preserve">회</t>
    </r>
  </si>
  <si>
    <t xml:space="preserve">보조금</t>
  </si>
  <si>
    <t xml:space="preserve">기관 강사비 지급기준 준용</t>
  </si>
  <si>
    <t xml:space="preserve">인건비</t>
  </si>
  <si>
    <t xml:space="preserve">운영 담당자 인건비</t>
  </si>
  <si>
    <r>
      <rPr>
        <sz val="10"/>
        <color rgb="FF0000FF"/>
        <rFont val="맑은 고딕"/>
        <family val="0"/>
        <charset val="1"/>
      </rPr>
      <t xml:space="preserve">2,000,000</t>
    </r>
    <r>
      <rPr>
        <sz val="10"/>
        <color rgb="FF0000FF"/>
        <rFont val="Noto Sans CJK SC"/>
        <family val="2"/>
      </rPr>
      <t xml:space="preserve">원 </t>
    </r>
    <r>
      <rPr>
        <sz val="10"/>
        <color rgb="FF0000FF"/>
        <rFont val="맑은 고딕"/>
        <family val="0"/>
        <charset val="1"/>
      </rPr>
      <t xml:space="preserve">× 1</t>
    </r>
    <r>
      <rPr>
        <sz val="10"/>
        <color rgb="FF0000FF"/>
        <rFont val="Noto Sans CJK SC"/>
        <family val="2"/>
      </rPr>
      <t xml:space="preserve">명 </t>
    </r>
    <r>
      <rPr>
        <sz val="10"/>
        <color rgb="FF0000FF"/>
        <rFont val="맑은 고딕"/>
        <family val="0"/>
        <charset val="1"/>
      </rPr>
      <t xml:space="preserve">× 2</t>
    </r>
    <r>
      <rPr>
        <sz val="10"/>
        <color rgb="FF0000FF"/>
        <rFont val="Noto Sans CJK SC"/>
        <family val="2"/>
      </rPr>
      <t xml:space="preserve">개월</t>
    </r>
  </si>
  <si>
    <r>
      <rPr>
        <sz val="10"/>
        <color rgb="FF0000FF"/>
        <rFont val="맑은 고딕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대보험 사업자부담 포함</t>
    </r>
  </si>
  <si>
    <t xml:space="preserve">재료비</t>
  </si>
  <si>
    <t xml:space="preserve">교육 재료비</t>
  </si>
  <si>
    <r>
      <rPr>
        <sz val="10"/>
        <color rgb="FF0000FF"/>
        <rFont val="맑은 고딕"/>
        <family val="0"/>
        <charset val="1"/>
      </rPr>
      <t xml:space="preserve">15,000</t>
    </r>
    <r>
      <rPr>
        <sz val="10"/>
        <color rgb="FF0000FF"/>
        <rFont val="Noto Sans CJK SC"/>
        <family val="2"/>
      </rPr>
      <t xml:space="preserve">원 </t>
    </r>
    <r>
      <rPr>
        <sz val="10"/>
        <color rgb="FF0000FF"/>
        <rFont val="맑은 고딕"/>
        <family val="0"/>
        <charset val="1"/>
      </rPr>
      <t xml:space="preserve">× 300</t>
    </r>
    <r>
      <rPr>
        <sz val="10"/>
        <color rgb="FF0000FF"/>
        <rFont val="Noto Sans CJK SC"/>
        <family val="2"/>
      </rPr>
      <t xml:space="preserve">명 </t>
    </r>
    <r>
      <rPr>
        <sz val="10"/>
        <color rgb="FF0000FF"/>
        <rFont val="맑은 고딕"/>
        <family val="0"/>
        <charset val="1"/>
      </rPr>
      <t xml:space="preserve">× 4</t>
    </r>
    <r>
      <rPr>
        <sz val="10"/>
        <color rgb="FF0000FF"/>
        <rFont val="Noto Sans CJK SC"/>
        <family val="2"/>
      </rPr>
      <t xml:space="preserve">회</t>
    </r>
  </si>
  <si>
    <r>
      <rPr>
        <sz val="10"/>
        <color rgb="FF0000FF"/>
        <rFont val="Noto Sans CJK SC"/>
        <family val="2"/>
      </rPr>
      <t xml:space="preserve">견적서 </t>
    </r>
    <r>
      <rPr>
        <sz val="10"/>
        <color rgb="FF0000FF"/>
        <rFont val="맑은 고딕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곳 비교 평균</t>
    </r>
  </si>
  <si>
    <t xml:space="preserve">행사운영비</t>
  </si>
  <si>
    <t xml:space="preserve">성과 공유회 운영</t>
  </si>
  <si>
    <r>
      <rPr>
        <sz val="10"/>
        <color rgb="FF0000FF"/>
        <rFont val="맑은 고딕"/>
        <family val="0"/>
        <charset val="1"/>
      </rPr>
      <t xml:space="preserve">5,000,000</t>
    </r>
    <r>
      <rPr>
        <sz val="10"/>
        <color rgb="FF0000FF"/>
        <rFont val="Noto Sans CJK SC"/>
        <family val="2"/>
      </rPr>
      <t xml:space="preserve">원 </t>
    </r>
    <r>
      <rPr>
        <sz val="10"/>
        <color rgb="FF0000FF"/>
        <rFont val="맑은 고딕"/>
        <family val="0"/>
        <charset val="1"/>
      </rPr>
      <t xml:space="preserve">× 1</t>
    </r>
    <r>
      <rPr>
        <sz val="10"/>
        <color rgb="FF0000FF"/>
        <rFont val="Noto Sans CJK SC"/>
        <family val="2"/>
      </rPr>
      <t xml:space="preserve">식 </t>
    </r>
    <r>
      <rPr>
        <sz val="10"/>
        <color rgb="FF0000FF"/>
        <rFont val="맑은 고딕"/>
        <family val="0"/>
        <charset val="1"/>
      </rPr>
      <t xml:space="preserve">× 1</t>
    </r>
    <r>
      <rPr>
        <sz val="10"/>
        <color rgb="FF0000FF"/>
        <rFont val="Noto Sans CJK SC"/>
        <family val="2"/>
      </rPr>
      <t xml:space="preserve">회</t>
    </r>
  </si>
  <si>
    <r>
      <rPr>
        <sz val="10"/>
        <color rgb="FF0000FF"/>
        <rFont val="Noto Sans CJK SC"/>
        <family val="2"/>
      </rPr>
      <t xml:space="preserve">무대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음향 임차 포함</t>
    </r>
  </si>
  <si>
    <t xml:space="preserve">홍보비</t>
  </si>
  <si>
    <t xml:space="preserve">온라인 광고</t>
  </si>
  <si>
    <r>
      <rPr>
        <sz val="10"/>
        <color rgb="FF0000FF"/>
        <rFont val="맑은 고딕"/>
        <family val="0"/>
        <charset val="1"/>
      </rPr>
      <t xml:space="preserve">2,000,000</t>
    </r>
    <r>
      <rPr>
        <sz val="10"/>
        <color rgb="FF0000FF"/>
        <rFont val="Noto Sans CJK SC"/>
        <family val="2"/>
      </rPr>
      <t xml:space="preserve">원 </t>
    </r>
    <r>
      <rPr>
        <sz val="10"/>
        <color rgb="FF0000FF"/>
        <rFont val="맑은 고딕"/>
        <family val="0"/>
        <charset val="1"/>
      </rPr>
      <t xml:space="preserve">× 1</t>
    </r>
    <r>
      <rPr>
        <sz val="10"/>
        <color rgb="FF0000FF"/>
        <rFont val="Noto Sans CJK SC"/>
        <family val="2"/>
      </rPr>
      <t xml:space="preserve">식 </t>
    </r>
    <r>
      <rPr>
        <sz val="10"/>
        <color rgb="FF0000FF"/>
        <rFont val="맑은 고딕"/>
        <family val="0"/>
        <charset val="1"/>
      </rPr>
      <t xml:space="preserve">× 1</t>
    </r>
    <r>
      <rPr>
        <sz val="10"/>
        <color rgb="FF0000FF"/>
        <rFont val="Noto Sans CJK SC"/>
        <family val="2"/>
      </rPr>
      <t xml:space="preserve">회</t>
    </r>
  </si>
  <si>
    <t xml:space="preserve">플랫폼 공시 단가</t>
  </si>
  <si>
    <t xml:space="preserve">리플릿 인쇄</t>
  </si>
  <si>
    <r>
      <rPr>
        <sz val="10"/>
        <color rgb="FF0000FF"/>
        <rFont val="맑은 고딕"/>
        <family val="0"/>
        <charset val="1"/>
      </rPr>
      <t xml:space="preserve">2,000</t>
    </r>
    <r>
      <rPr>
        <sz val="10"/>
        <color rgb="FF0000FF"/>
        <rFont val="Noto Sans CJK SC"/>
        <family val="2"/>
      </rPr>
      <t xml:space="preserve">원 </t>
    </r>
    <r>
      <rPr>
        <sz val="10"/>
        <color rgb="FF0000FF"/>
        <rFont val="맑은 고딕"/>
        <family val="0"/>
        <charset val="1"/>
      </rPr>
      <t xml:space="preserve">× 500</t>
    </r>
    <r>
      <rPr>
        <sz val="10"/>
        <color rgb="FF0000FF"/>
        <rFont val="Noto Sans CJK SC"/>
        <family val="2"/>
      </rPr>
      <t xml:space="preserve">부 </t>
    </r>
    <r>
      <rPr>
        <sz val="10"/>
        <color rgb="FF0000FF"/>
        <rFont val="맑은 고딕"/>
        <family val="0"/>
        <charset val="1"/>
      </rPr>
      <t xml:space="preserve">× 1</t>
    </r>
    <r>
      <rPr>
        <sz val="10"/>
        <color rgb="FF0000FF"/>
        <rFont val="Noto Sans CJK SC"/>
        <family val="2"/>
      </rPr>
      <t xml:space="preserve">회</t>
    </r>
  </si>
  <si>
    <r>
      <rPr>
        <sz val="10"/>
        <color rgb="FF0000FF"/>
        <rFont val="Noto Sans CJK SC"/>
        <family val="2"/>
      </rPr>
      <t xml:space="preserve">자부담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현금</t>
    </r>
    <r>
      <rPr>
        <sz val="10"/>
        <color rgb="FF0000FF"/>
        <rFont val="맑은 고딕"/>
        <family val="0"/>
        <charset val="1"/>
      </rPr>
      <t xml:space="preserve">)</t>
    </r>
  </si>
  <si>
    <t xml:space="preserve">지역 인쇄소 견적</t>
  </si>
  <si>
    <t xml:space="preserve">여비</t>
  </si>
  <si>
    <t xml:space="preserve">강사 출장 여비</t>
  </si>
  <si>
    <r>
      <rPr>
        <sz val="10"/>
        <color rgb="FF0000FF"/>
        <rFont val="맑은 고딕"/>
        <family val="0"/>
        <charset val="1"/>
      </rPr>
      <t xml:space="preserve">100,000</t>
    </r>
    <r>
      <rPr>
        <sz val="10"/>
        <color rgb="FF0000FF"/>
        <rFont val="Noto Sans CJK SC"/>
        <family val="2"/>
      </rPr>
      <t xml:space="preserve">원 </t>
    </r>
    <r>
      <rPr>
        <sz val="10"/>
        <color rgb="FF0000FF"/>
        <rFont val="맑은 고딕"/>
        <family val="0"/>
        <charset val="1"/>
      </rPr>
      <t xml:space="preserve">× 2</t>
    </r>
    <r>
      <rPr>
        <sz val="10"/>
        <color rgb="FF0000FF"/>
        <rFont val="Noto Sans CJK SC"/>
        <family val="2"/>
      </rPr>
      <t xml:space="preserve">명 </t>
    </r>
    <r>
      <rPr>
        <sz val="10"/>
        <color rgb="FF0000FF"/>
        <rFont val="맑은 고딕"/>
        <family val="0"/>
        <charset val="1"/>
      </rPr>
      <t xml:space="preserve">× 15</t>
    </r>
    <r>
      <rPr>
        <sz val="10"/>
        <color rgb="FF0000FF"/>
        <rFont val="Noto Sans CJK SC"/>
        <family val="2"/>
      </rPr>
      <t xml:space="preserve">회</t>
    </r>
  </si>
  <si>
    <t xml:space="preserve">공무원 여비 규정 준용</t>
  </si>
  <si>
    <t xml:space="preserve">임차료</t>
  </si>
  <si>
    <t xml:space="preserve">교육장 사용료</t>
  </si>
  <si>
    <r>
      <rPr>
        <sz val="10"/>
        <color rgb="FF0000FF"/>
        <rFont val="맑은 고딕"/>
        <family val="0"/>
        <charset val="1"/>
      </rPr>
      <t xml:space="preserve">100,000</t>
    </r>
    <r>
      <rPr>
        <sz val="10"/>
        <color rgb="FF0000FF"/>
        <rFont val="Noto Sans CJK SC"/>
        <family val="2"/>
      </rPr>
      <t xml:space="preserve">원 </t>
    </r>
    <r>
      <rPr>
        <sz val="10"/>
        <color rgb="FF0000FF"/>
        <rFont val="맑은 고딕"/>
        <family val="0"/>
        <charset val="1"/>
      </rPr>
      <t xml:space="preserve">× 1</t>
    </r>
    <r>
      <rPr>
        <sz val="10"/>
        <color rgb="FF0000FF"/>
        <rFont val="Noto Sans CJK SC"/>
        <family val="2"/>
      </rPr>
      <t xml:space="preserve">실 </t>
    </r>
    <r>
      <rPr>
        <sz val="10"/>
        <color rgb="FF0000FF"/>
        <rFont val="맑은 고딕"/>
        <family val="0"/>
        <charset val="1"/>
      </rPr>
      <t xml:space="preserve">× 40</t>
    </r>
    <r>
      <rPr>
        <sz val="10"/>
        <color rgb="FF0000FF"/>
        <rFont val="Noto Sans CJK SC"/>
        <family val="2"/>
      </rPr>
      <t xml:space="preserve">회 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기관 공간 무상 제공 환산</t>
    </r>
    <r>
      <rPr>
        <sz val="10"/>
        <color rgb="FF0000FF"/>
        <rFont val="맑은 고딕"/>
        <family val="0"/>
        <charset val="1"/>
      </rPr>
      <t xml:space="preserve">)</t>
    </r>
  </si>
  <si>
    <r>
      <rPr>
        <sz val="10"/>
        <color rgb="FF0000FF"/>
        <rFont val="Noto Sans CJK SC"/>
        <family val="2"/>
      </rPr>
      <t xml:space="preserve">자부담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현물</t>
    </r>
    <r>
      <rPr>
        <sz val="10"/>
        <color rgb="FF0000FF"/>
        <rFont val="맑은 고딕"/>
        <family val="0"/>
        <charset val="1"/>
      </rPr>
      <t xml:space="preserve">)</t>
    </r>
  </si>
  <si>
    <t xml:space="preserve">현물 환산액</t>
  </si>
  <si>
    <t xml:space="preserve">기타운영비</t>
  </si>
  <si>
    <r>
      <rPr>
        <sz val="10"/>
        <color rgb="FF0000FF"/>
        <rFont val="Noto Sans CJK SC"/>
        <family val="2"/>
      </rPr>
      <t xml:space="preserve">보험료 </t>
    </r>
    <r>
      <rPr>
        <sz val="10"/>
        <color rgb="FF0000FF"/>
        <rFont val="맑은 고딕"/>
        <family val="0"/>
        <charset val="1"/>
      </rPr>
      <t xml:space="preserve">· </t>
    </r>
    <r>
      <rPr>
        <sz val="10"/>
        <color rgb="FF0000FF"/>
        <rFont val="Noto Sans CJK SC"/>
        <family val="2"/>
      </rPr>
      <t xml:space="preserve">소모품</t>
    </r>
  </si>
  <si>
    <r>
      <rPr>
        <sz val="10"/>
        <color rgb="FF0000FF"/>
        <rFont val="맑은 고딕"/>
        <family val="0"/>
        <charset val="1"/>
      </rPr>
      <t xml:space="preserve">1,000,000</t>
    </r>
    <r>
      <rPr>
        <sz val="10"/>
        <color rgb="FF0000FF"/>
        <rFont val="Noto Sans CJK SC"/>
        <family val="2"/>
      </rPr>
      <t xml:space="preserve">원 </t>
    </r>
    <r>
      <rPr>
        <sz val="10"/>
        <color rgb="FF0000FF"/>
        <rFont val="맑은 고딕"/>
        <family val="0"/>
        <charset val="1"/>
      </rPr>
      <t xml:space="preserve">× 1</t>
    </r>
    <r>
      <rPr>
        <sz val="10"/>
        <color rgb="FF0000FF"/>
        <rFont val="Noto Sans CJK SC"/>
        <family val="2"/>
      </rPr>
      <t xml:space="preserve">식 </t>
    </r>
    <r>
      <rPr>
        <sz val="10"/>
        <color rgb="FF0000FF"/>
        <rFont val="맑은 고딕"/>
        <family val="0"/>
        <charset val="1"/>
      </rPr>
      <t xml:space="preserve">× 1</t>
    </r>
    <r>
      <rPr>
        <sz val="10"/>
        <color rgb="FF0000FF"/>
        <rFont val="Noto Sans CJK SC"/>
        <family val="2"/>
      </rPr>
      <t xml:space="preserve">회</t>
    </r>
  </si>
  <si>
    <r>
      <rPr>
        <sz val="10"/>
        <color rgb="FF0000FF"/>
        <rFont val="Noto Sans CJK SC"/>
        <family val="2"/>
      </rPr>
      <t xml:space="preserve">상해보험 </t>
    </r>
    <r>
      <rPr>
        <sz val="10"/>
        <color rgb="FF0000FF"/>
        <rFont val="맑은 고딕"/>
        <family val="0"/>
        <charset val="1"/>
      </rPr>
      <t xml:space="preserve">300</t>
    </r>
    <r>
      <rPr>
        <sz val="10"/>
        <color rgb="FF0000FF"/>
        <rFont val="Noto Sans CJK SC"/>
        <family val="2"/>
      </rPr>
      <t xml:space="preserve">명</t>
    </r>
  </si>
  <si>
    <t xml:space="preserve">간접비</t>
  </si>
  <si>
    <t xml:space="preserve">관리 운영비</t>
  </si>
  <si>
    <r>
      <rPr>
        <sz val="10"/>
        <color rgb="FF0000FF"/>
        <rFont val="Noto Sans CJK SC"/>
        <family val="2"/>
      </rPr>
      <t xml:space="preserve">직접비의 </t>
    </r>
    <r>
      <rPr>
        <sz val="10"/>
        <color rgb="FF0000FF"/>
        <rFont val="맑은 고딕"/>
        <family val="0"/>
        <charset val="1"/>
      </rPr>
      <t xml:space="preserve">4%</t>
    </r>
  </si>
  <si>
    <t xml:space="preserve">합  계</t>
  </si>
  <si>
    <r>
      <rPr>
        <b val="true"/>
        <sz val="14"/>
        <color rgb="FF0B3C49"/>
        <rFont val="Noto Sans CJK SC"/>
        <family val="2"/>
      </rPr>
      <t xml:space="preserve">② 예산 총괄표  </t>
    </r>
    <r>
      <rPr>
        <b val="true"/>
        <sz val="14"/>
        <color rgb="FF0B3C49"/>
        <rFont val="맑은 고딕"/>
        <family val="0"/>
        <charset val="1"/>
      </rPr>
      <t xml:space="preserve">(</t>
    </r>
    <r>
      <rPr>
        <b val="true"/>
        <sz val="14"/>
        <color rgb="FF0B3C49"/>
        <rFont val="Noto Sans CJK SC"/>
        <family val="2"/>
      </rPr>
      <t xml:space="preserve">자동 집계 — 입력하지 마세요</t>
    </r>
    <r>
      <rPr>
        <b val="true"/>
        <sz val="14"/>
        <color rgb="FF0B3C49"/>
        <rFont val="맑은 고딕"/>
        <family val="0"/>
        <charset val="1"/>
      </rPr>
      <t xml:space="preserve">)</t>
    </r>
  </si>
  <si>
    <r>
      <rPr>
        <sz val="9"/>
        <color rgb="FF44565C"/>
        <rFont val="맑은 고딕"/>
        <family val="0"/>
        <charset val="1"/>
      </rPr>
      <t xml:space="preserve">[</t>
    </r>
    <r>
      <rPr>
        <sz val="9"/>
        <color rgb="FF44565C"/>
        <rFont val="Noto Sans CJK SC"/>
        <family val="2"/>
      </rPr>
      <t xml:space="preserve">산출근거입력</t>
    </r>
    <r>
      <rPr>
        <sz val="9"/>
        <color rgb="FF44565C"/>
        <rFont val="맑은 고딕"/>
        <family val="0"/>
        <charset val="1"/>
      </rPr>
      <t xml:space="preserve">] </t>
    </r>
    <r>
      <rPr>
        <sz val="9"/>
        <color rgb="FF44565C"/>
        <rFont val="Noto Sans CJK SC"/>
        <family val="2"/>
      </rPr>
      <t xml:space="preserve">시트의 내용이 자동으로 집계됩니다</t>
    </r>
    <r>
      <rPr>
        <sz val="9"/>
        <color rgb="FF44565C"/>
        <rFont val="맑은 고딕"/>
        <family val="0"/>
        <charset val="1"/>
      </rPr>
      <t xml:space="preserve">. </t>
    </r>
    <r>
      <rPr>
        <sz val="9"/>
        <color rgb="FF44565C"/>
        <rFont val="Noto Sans CJK SC"/>
        <family val="2"/>
      </rPr>
      <t xml:space="preserve">계획서에는 이 표를 그대로 옮겨 적으면 됩니다</t>
    </r>
    <r>
      <rPr>
        <sz val="9"/>
        <color rgb="FF44565C"/>
        <rFont val="맑은 고딕"/>
        <family val="0"/>
        <charset val="1"/>
      </rPr>
      <t xml:space="preserve">.</t>
    </r>
  </si>
  <si>
    <t xml:space="preserve">비목</t>
  </si>
  <si>
    <t xml:space="preserve">비율</t>
  </si>
  <si>
    <t xml:space="preserve">천원 단위</t>
  </si>
  <si>
    <t xml:space="preserve">회의비</t>
  </si>
  <si>
    <t xml:space="preserve">직접 입력 비목 — 목록에 없는 비목을 쓴 경우 같은 이름 입력</t>
  </si>
  <si>
    <t xml:space="preserve">재원별 집계</t>
  </si>
  <si>
    <t xml:space="preserve">공고기관 지원금</t>
  </si>
  <si>
    <r>
      <rPr>
        <b val="true"/>
        <sz val="10"/>
        <color rgb="FF0B3C49"/>
        <rFont val="Noto Sans CJK SC"/>
        <family val="2"/>
      </rPr>
      <t xml:space="preserve">자부담</t>
    </r>
    <r>
      <rPr>
        <b val="true"/>
        <sz val="10"/>
        <color rgb="FF0B3C49"/>
        <rFont val="맑은 고딕"/>
        <family val="0"/>
        <charset val="1"/>
      </rPr>
      <t xml:space="preserve">(</t>
    </r>
    <r>
      <rPr>
        <b val="true"/>
        <sz val="10"/>
        <color rgb="FF0B3C49"/>
        <rFont val="Noto Sans CJK SC"/>
        <family val="2"/>
      </rPr>
      <t xml:space="preserve">현금</t>
    </r>
    <r>
      <rPr>
        <b val="true"/>
        <sz val="10"/>
        <color rgb="FF0B3C49"/>
        <rFont val="맑은 고딕"/>
        <family val="0"/>
        <charset val="1"/>
      </rPr>
      <t xml:space="preserve">)</t>
    </r>
  </si>
  <si>
    <t xml:space="preserve">우리 기관이 직접 부담</t>
  </si>
  <si>
    <r>
      <rPr>
        <b val="true"/>
        <sz val="10"/>
        <color rgb="FF0B3C49"/>
        <rFont val="Noto Sans CJK SC"/>
        <family val="2"/>
      </rPr>
      <t xml:space="preserve">자부담</t>
    </r>
    <r>
      <rPr>
        <b val="true"/>
        <sz val="10"/>
        <color rgb="FF0B3C49"/>
        <rFont val="맑은 고딕"/>
        <family val="0"/>
        <charset val="1"/>
      </rPr>
      <t xml:space="preserve">(</t>
    </r>
    <r>
      <rPr>
        <b val="true"/>
        <sz val="10"/>
        <color rgb="FF0B3C49"/>
        <rFont val="Noto Sans CJK SC"/>
        <family val="2"/>
      </rPr>
      <t xml:space="preserve">현물</t>
    </r>
    <r>
      <rPr>
        <b val="true"/>
        <sz val="10"/>
        <color rgb="FF0B3C49"/>
        <rFont val="맑은 고딕"/>
        <family val="0"/>
        <charset val="1"/>
      </rPr>
      <t xml:space="preserve">)</t>
    </r>
  </si>
  <si>
    <r>
      <rPr>
        <sz val="9"/>
        <color rgb="FF44565C"/>
        <rFont val="Noto Sans CJK SC"/>
        <family val="2"/>
      </rPr>
      <t xml:space="preserve">공간</t>
    </r>
    <r>
      <rPr>
        <sz val="9"/>
        <color rgb="FF44565C"/>
        <rFont val="맑은 고딕"/>
        <family val="0"/>
        <charset val="1"/>
      </rPr>
      <t xml:space="preserve">·</t>
    </r>
    <r>
      <rPr>
        <sz val="9"/>
        <color rgb="FF44565C"/>
        <rFont val="Noto Sans CJK SC"/>
        <family val="2"/>
      </rPr>
      <t xml:space="preserve">인력</t>
    </r>
    <r>
      <rPr>
        <sz val="9"/>
        <color rgb="FF44565C"/>
        <rFont val="맑은 고딕"/>
        <family val="0"/>
        <charset val="1"/>
      </rPr>
      <t xml:space="preserve">·</t>
    </r>
    <r>
      <rPr>
        <sz val="9"/>
        <color rgb="FF44565C"/>
        <rFont val="Noto Sans CJK SC"/>
        <family val="2"/>
      </rPr>
      <t xml:space="preserve">장비 환산액</t>
    </r>
  </si>
  <si>
    <r>
      <rPr>
        <b val="true"/>
        <sz val="9"/>
        <color rgb="FFC9553D"/>
        <rFont val="Noto Sans CJK SC"/>
        <family val="2"/>
      </rPr>
      <t xml:space="preserve">※ 비목 합계와 재원 합계는 반드시 같아야 합니다</t>
    </r>
    <r>
      <rPr>
        <b val="true"/>
        <sz val="9"/>
        <color rgb="FFC9553D"/>
        <rFont val="맑은 고딕"/>
        <family val="0"/>
        <charset val="1"/>
      </rPr>
      <t xml:space="preserve">. </t>
    </r>
    <r>
      <rPr>
        <b val="true"/>
        <sz val="9"/>
        <color rgb="FFC9553D"/>
        <rFont val="Noto Sans CJK SC"/>
        <family val="2"/>
      </rPr>
      <t xml:space="preserve">다르면 </t>
    </r>
    <r>
      <rPr>
        <b val="true"/>
        <sz val="9"/>
        <color rgb="FFC9553D"/>
        <rFont val="맑은 고딕"/>
        <family val="0"/>
        <charset val="1"/>
      </rPr>
      <t xml:space="preserve">[</t>
    </r>
    <r>
      <rPr>
        <b val="true"/>
        <sz val="9"/>
        <color rgb="FFC9553D"/>
        <rFont val="Noto Sans CJK SC"/>
        <family val="2"/>
      </rPr>
      <t xml:space="preserve">산출근거입력</t>
    </r>
    <r>
      <rPr>
        <b val="true"/>
        <sz val="9"/>
        <color rgb="FFC9553D"/>
        <rFont val="맑은 고딕"/>
        <family val="0"/>
        <charset val="1"/>
      </rPr>
      <t xml:space="preserve">] </t>
    </r>
    <r>
      <rPr>
        <b val="true"/>
        <sz val="9"/>
        <color rgb="FFC9553D"/>
        <rFont val="Noto Sans CJK SC"/>
        <family val="2"/>
      </rPr>
      <t xml:space="preserve">시트에 비목 또는 재원 구분이 빠진 행이 있습니다</t>
    </r>
    <r>
      <rPr>
        <b val="true"/>
        <sz val="9"/>
        <color rgb="FFC9553D"/>
        <rFont val="맑은 고딕"/>
        <family val="0"/>
        <charset val="1"/>
      </rPr>
      <t xml:space="preserve">.</t>
    </r>
  </si>
  <si>
    <r>
      <rPr>
        <b val="true"/>
        <sz val="14"/>
        <color rgb="FF0B3C49"/>
        <rFont val="Noto Sans CJK SC"/>
        <family val="2"/>
      </rPr>
      <t xml:space="preserve">③ 검산 </t>
    </r>
    <r>
      <rPr>
        <b val="true"/>
        <sz val="14"/>
        <color rgb="FF0B3C49"/>
        <rFont val="맑은 고딕"/>
        <family val="0"/>
        <charset val="1"/>
      </rPr>
      <t xml:space="preserve">· </t>
    </r>
    <r>
      <rPr>
        <b val="true"/>
        <sz val="14"/>
        <color rgb="FF0B3C49"/>
        <rFont val="Noto Sans CJK SC"/>
        <family val="2"/>
      </rPr>
      <t xml:space="preserve">점검</t>
    </r>
  </si>
  <si>
    <r>
      <rPr>
        <sz val="9"/>
        <color rgb="FF44565C"/>
        <rFont val="Noto Sans CJK SC"/>
        <family val="2"/>
      </rPr>
      <t xml:space="preserve">노란 칸에 공고문 기준을 입력하면</t>
    </r>
    <r>
      <rPr>
        <sz val="9"/>
        <color rgb="FF44565C"/>
        <rFont val="맑은 고딕"/>
        <family val="0"/>
        <charset val="1"/>
      </rPr>
      <t xml:space="preserve">, </t>
    </r>
    <r>
      <rPr>
        <sz val="9"/>
        <color rgb="FF44565C"/>
        <rFont val="Noto Sans CJK SC"/>
        <family val="2"/>
      </rPr>
      <t xml:space="preserve">아래 점검 항목이 자동으로 판정됩니다</t>
    </r>
    <r>
      <rPr>
        <sz val="9"/>
        <color rgb="FF44565C"/>
        <rFont val="맑은 고딕"/>
        <family val="0"/>
        <charset val="1"/>
      </rPr>
      <t xml:space="preserve">.</t>
    </r>
  </si>
  <si>
    <t xml:space="preserve">공고문 기준 입력</t>
  </si>
  <si>
    <r>
      <rPr>
        <b val="true"/>
        <sz val="10"/>
        <color rgb="FF0B3C49"/>
        <rFont val="Noto Sans CJK SC"/>
        <family val="2"/>
      </rPr>
      <t xml:space="preserve">총사업비 한도</t>
    </r>
    <r>
      <rPr>
        <b val="true"/>
        <sz val="10"/>
        <color rgb="FF0B3C49"/>
        <rFont val="맑은 고딕"/>
        <family val="0"/>
        <charset val="1"/>
      </rPr>
      <t xml:space="preserve">(</t>
    </r>
    <r>
      <rPr>
        <b val="true"/>
        <sz val="10"/>
        <color rgb="FF0B3C49"/>
        <rFont val="Noto Sans CJK SC"/>
        <family val="2"/>
      </rPr>
      <t xml:space="preserve">원</t>
    </r>
    <r>
      <rPr>
        <b val="true"/>
        <sz val="10"/>
        <color rgb="FF0B3C49"/>
        <rFont val="맑은 고딕"/>
        <family val="0"/>
        <charset val="1"/>
      </rPr>
      <t xml:space="preserve">)</t>
    </r>
  </si>
  <si>
    <t xml:space="preserve">공고문에 명시된 총사업비</t>
  </si>
  <si>
    <t xml:space="preserve">인건비성 경비 상한 비율</t>
  </si>
  <si>
    <r>
      <rPr>
        <sz val="9"/>
        <color rgb="FF44565C"/>
        <rFont val="Noto Sans CJK SC"/>
        <family val="2"/>
      </rPr>
      <t xml:space="preserve">인건비 </t>
    </r>
    <r>
      <rPr>
        <sz val="9"/>
        <color rgb="FF44565C"/>
        <rFont val="맑은 고딕"/>
        <family val="0"/>
        <charset val="1"/>
      </rPr>
      <t xml:space="preserve">+ </t>
    </r>
    <r>
      <rPr>
        <sz val="9"/>
        <color rgb="FF44565C"/>
        <rFont val="Noto Sans CJK SC"/>
        <family val="2"/>
      </rPr>
      <t xml:space="preserve">강사비 합계의 상한 </t>
    </r>
    <r>
      <rPr>
        <sz val="9"/>
        <color rgb="FF44565C"/>
        <rFont val="맑은 고딕"/>
        <family val="0"/>
        <charset val="1"/>
      </rPr>
      <t xml:space="preserve">(</t>
    </r>
    <r>
      <rPr>
        <sz val="9"/>
        <color rgb="FF44565C"/>
        <rFont val="Noto Sans CJK SC"/>
        <family val="2"/>
      </rPr>
      <t xml:space="preserve">예</t>
    </r>
    <r>
      <rPr>
        <sz val="9"/>
        <color rgb="FF44565C"/>
        <rFont val="맑은 고딕"/>
        <family val="0"/>
        <charset val="1"/>
      </rPr>
      <t xml:space="preserve">: 30%)</t>
    </r>
  </si>
  <si>
    <t xml:space="preserve">자부담 최소 비율</t>
  </si>
  <si>
    <r>
      <rPr>
        <sz val="9"/>
        <color rgb="FF44565C"/>
        <rFont val="Noto Sans CJK SC"/>
        <family val="2"/>
      </rPr>
      <t xml:space="preserve">자부담</t>
    </r>
    <r>
      <rPr>
        <sz val="9"/>
        <color rgb="FF44565C"/>
        <rFont val="맑은 고딕"/>
        <family val="0"/>
        <charset val="1"/>
      </rPr>
      <t xml:space="preserve">(</t>
    </r>
    <r>
      <rPr>
        <sz val="9"/>
        <color rgb="FF44565C"/>
        <rFont val="Noto Sans CJK SC"/>
        <family val="2"/>
      </rPr>
      <t xml:space="preserve">현금</t>
    </r>
    <r>
      <rPr>
        <sz val="9"/>
        <color rgb="FF44565C"/>
        <rFont val="맑은 고딕"/>
        <family val="0"/>
        <charset val="1"/>
      </rPr>
      <t xml:space="preserve">+</t>
    </r>
    <r>
      <rPr>
        <sz val="9"/>
        <color rgb="FF44565C"/>
        <rFont val="Noto Sans CJK SC"/>
        <family val="2"/>
      </rPr>
      <t xml:space="preserve">현물</t>
    </r>
    <r>
      <rPr>
        <sz val="9"/>
        <color rgb="FF44565C"/>
        <rFont val="맑은 고딕"/>
        <family val="0"/>
        <charset val="1"/>
      </rPr>
      <t xml:space="preserve">) </t>
    </r>
    <r>
      <rPr>
        <sz val="9"/>
        <color rgb="FF44565C"/>
        <rFont val="Noto Sans CJK SC"/>
        <family val="2"/>
      </rPr>
      <t xml:space="preserve">최소 비율</t>
    </r>
  </si>
  <si>
    <t xml:space="preserve">간접비 상한 비율</t>
  </si>
  <si>
    <r>
      <rPr>
        <sz val="9"/>
        <color rgb="FF44565C"/>
        <rFont val="Noto Sans CJK SC"/>
        <family val="2"/>
      </rPr>
      <t xml:space="preserve">간접비</t>
    </r>
    <r>
      <rPr>
        <sz val="9"/>
        <color rgb="FF44565C"/>
        <rFont val="맑은 고딕"/>
        <family val="0"/>
        <charset val="1"/>
      </rPr>
      <t xml:space="preserve">(</t>
    </r>
    <r>
      <rPr>
        <sz val="9"/>
        <color rgb="FF44565C"/>
        <rFont val="Noto Sans CJK SC"/>
        <family val="2"/>
      </rPr>
      <t xml:space="preserve">관리운영비</t>
    </r>
    <r>
      <rPr>
        <sz val="9"/>
        <color rgb="FF44565C"/>
        <rFont val="맑은 고딕"/>
        <family val="0"/>
        <charset val="1"/>
      </rPr>
      <t xml:space="preserve">) </t>
    </r>
    <r>
      <rPr>
        <sz val="9"/>
        <color rgb="FF44565C"/>
        <rFont val="Noto Sans CJK SC"/>
        <family val="2"/>
      </rPr>
      <t xml:space="preserve">상한</t>
    </r>
  </si>
  <si>
    <t xml:space="preserve">자동 점검 결과</t>
  </si>
  <si>
    <t xml:space="preserve">점검 항목</t>
  </si>
  <si>
    <t xml:space="preserve">기준</t>
  </si>
  <si>
    <t xml:space="preserve">현재 값</t>
  </si>
  <si>
    <t xml:space="preserve">판정</t>
  </si>
  <si>
    <t xml:space="preserve">확인 방법</t>
  </si>
  <si>
    <t xml:space="preserve">총괄표에 집계되지 않은 금액</t>
  </si>
  <si>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원</t>
    </r>
  </si>
  <si>
    <r>
      <rPr>
        <sz val="9"/>
        <color rgb="FF44565C"/>
        <rFont val="Noto Sans CJK SC"/>
        <family val="2"/>
      </rPr>
      <t xml:space="preserve">목록에 없는 비목을 쓴 경우입니다</t>
    </r>
    <r>
      <rPr>
        <sz val="9"/>
        <color rgb="FF44565C"/>
        <rFont val="맑은 고딕"/>
        <family val="0"/>
        <charset val="1"/>
      </rPr>
      <t xml:space="preserve">. [</t>
    </r>
    <r>
      <rPr>
        <sz val="9"/>
        <color rgb="FF44565C"/>
        <rFont val="Noto Sans CJK SC"/>
        <family val="2"/>
      </rPr>
      <t xml:space="preserve">예산총괄표</t>
    </r>
    <r>
      <rPr>
        <sz val="9"/>
        <color rgb="FF44565C"/>
        <rFont val="맑은 고딕"/>
        <family val="0"/>
        <charset val="1"/>
      </rPr>
      <t xml:space="preserve">] </t>
    </r>
    <r>
      <rPr>
        <sz val="9"/>
        <color rgb="FF44565C"/>
        <rFont val="Noto Sans CJK SC"/>
        <family val="2"/>
      </rPr>
      <t xml:space="preserve">노란 칸에 그 비목명을 입력하세요</t>
    </r>
    <r>
      <rPr>
        <sz val="9"/>
        <color rgb="FF44565C"/>
        <rFont val="맑은 고딕"/>
        <family val="0"/>
        <charset val="1"/>
      </rPr>
      <t xml:space="preserve">.</t>
    </r>
  </si>
  <si>
    <t xml:space="preserve">합계가 총사업비와 일치하는가</t>
  </si>
  <si>
    <r>
      <rPr>
        <sz val="9"/>
        <color rgb="FF44565C"/>
        <rFont val="Noto Sans CJK SC"/>
        <family val="2"/>
      </rPr>
      <t xml:space="preserve">다르면 </t>
    </r>
    <r>
      <rPr>
        <sz val="9"/>
        <color rgb="FF44565C"/>
        <rFont val="맑은 고딕"/>
        <family val="0"/>
        <charset val="1"/>
      </rPr>
      <t xml:space="preserve">[</t>
    </r>
    <r>
      <rPr>
        <sz val="9"/>
        <color rgb="FF44565C"/>
        <rFont val="Noto Sans CJK SC"/>
        <family val="2"/>
      </rPr>
      <t xml:space="preserve">산출근거입력</t>
    </r>
    <r>
      <rPr>
        <sz val="9"/>
        <color rgb="FF44565C"/>
        <rFont val="맑은 고딕"/>
        <family val="0"/>
        <charset val="1"/>
      </rPr>
      <t xml:space="preserve">] </t>
    </r>
    <r>
      <rPr>
        <sz val="9"/>
        <color rgb="FF44565C"/>
        <rFont val="Noto Sans CJK SC"/>
        <family val="2"/>
      </rPr>
      <t xml:space="preserve">시트의 금액을 조정하세요</t>
    </r>
    <r>
      <rPr>
        <sz val="9"/>
        <color rgb="FF44565C"/>
        <rFont val="맑은 고딕"/>
        <family val="0"/>
        <charset val="1"/>
      </rPr>
      <t xml:space="preserve">.</t>
    </r>
  </si>
  <si>
    <t xml:space="preserve">인건비성 경비가 상한 이내인가</t>
  </si>
  <si>
    <r>
      <rPr>
        <sz val="9"/>
        <color rgb="FF44565C"/>
        <rFont val="Noto Sans CJK SC"/>
        <family val="2"/>
      </rPr>
      <t xml:space="preserve">초과 시 강사비를 재료비</t>
    </r>
    <r>
      <rPr>
        <sz val="9"/>
        <color rgb="FF44565C"/>
        <rFont val="맑은 고딕"/>
        <family val="0"/>
        <charset val="1"/>
      </rPr>
      <t xml:space="preserve">·</t>
    </r>
    <r>
      <rPr>
        <sz val="9"/>
        <color rgb="FF44565C"/>
        <rFont val="Noto Sans CJK SC"/>
        <family val="2"/>
      </rPr>
      <t xml:space="preserve">행사운영비로 재배분하세요</t>
    </r>
    <r>
      <rPr>
        <sz val="9"/>
        <color rgb="FF44565C"/>
        <rFont val="맑은 고딕"/>
        <family val="0"/>
        <charset val="1"/>
      </rPr>
      <t xml:space="preserve">.</t>
    </r>
  </si>
  <si>
    <t xml:space="preserve">자부담 비율이 최소 기준 이상인가</t>
  </si>
  <si>
    <r>
      <rPr>
        <sz val="9"/>
        <color rgb="FF44565C"/>
        <rFont val="Noto Sans CJK SC"/>
        <family val="2"/>
      </rPr>
      <t xml:space="preserve">부족 시 현물</t>
    </r>
    <r>
      <rPr>
        <sz val="9"/>
        <color rgb="FF44565C"/>
        <rFont val="맑은 고딕"/>
        <family val="0"/>
        <charset val="1"/>
      </rPr>
      <t xml:space="preserve">(</t>
    </r>
    <r>
      <rPr>
        <sz val="9"/>
        <color rgb="FF44565C"/>
        <rFont val="Noto Sans CJK SC"/>
        <family val="2"/>
      </rPr>
      <t xml:space="preserve">공간</t>
    </r>
    <r>
      <rPr>
        <sz val="9"/>
        <color rgb="FF44565C"/>
        <rFont val="맑은 고딕"/>
        <family val="0"/>
        <charset val="1"/>
      </rPr>
      <t xml:space="preserve">·</t>
    </r>
    <r>
      <rPr>
        <sz val="9"/>
        <color rgb="FF44565C"/>
        <rFont val="Noto Sans CJK SC"/>
        <family val="2"/>
      </rPr>
      <t xml:space="preserve">인력 환산</t>
    </r>
    <r>
      <rPr>
        <sz val="9"/>
        <color rgb="FF44565C"/>
        <rFont val="맑은 고딕"/>
        <family val="0"/>
        <charset val="1"/>
      </rPr>
      <t xml:space="preserve">)</t>
    </r>
    <r>
      <rPr>
        <sz val="9"/>
        <color rgb="FF44565C"/>
        <rFont val="Noto Sans CJK SC"/>
        <family val="2"/>
      </rPr>
      <t xml:space="preserve">을 추가 계상하세요</t>
    </r>
    <r>
      <rPr>
        <sz val="9"/>
        <color rgb="FF44565C"/>
        <rFont val="맑은 고딕"/>
        <family val="0"/>
        <charset val="1"/>
      </rPr>
      <t xml:space="preserve">.</t>
    </r>
  </si>
  <si>
    <t xml:space="preserve">간접비가 상한 이내인가</t>
  </si>
  <si>
    <r>
      <rPr>
        <sz val="9"/>
        <color rgb="FF44565C"/>
        <rFont val="Noto Sans CJK SC"/>
        <family val="2"/>
      </rPr>
      <t xml:space="preserve">초과 시 간접비를 줄이고 직접비로 옮기세요</t>
    </r>
    <r>
      <rPr>
        <sz val="9"/>
        <color rgb="FF44565C"/>
        <rFont val="맑은 고딕"/>
        <family val="0"/>
        <charset val="1"/>
      </rPr>
      <t xml:space="preserve">.</t>
    </r>
  </si>
  <si>
    <t xml:space="preserve">산출근거 설명이 비어 있는 행</t>
  </si>
  <si>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건</t>
    </r>
  </si>
  <si>
    <r>
      <rPr>
        <sz val="9"/>
        <color rgb="FF44565C"/>
        <rFont val="Noto Sans CJK SC"/>
        <family val="2"/>
      </rPr>
      <t xml:space="preserve">금액은 있는데 근거 설명이 없는 행입니다</t>
    </r>
    <r>
      <rPr>
        <sz val="9"/>
        <color rgb="FF44565C"/>
        <rFont val="맑은 고딕"/>
        <family val="0"/>
        <charset val="1"/>
      </rPr>
      <t xml:space="preserve">.</t>
    </r>
  </si>
  <si>
    <t xml:space="preserve">비목이 지정되지 않은 행</t>
  </si>
  <si>
    <r>
      <rPr>
        <sz val="9"/>
        <color rgb="FF44565C"/>
        <rFont val="Noto Sans CJK SC"/>
        <family val="2"/>
      </rPr>
      <t xml:space="preserve">비목이 없으면 총괄표에 집계되지 않습니다</t>
    </r>
    <r>
      <rPr>
        <sz val="9"/>
        <color rgb="FF44565C"/>
        <rFont val="맑은 고딕"/>
        <family val="0"/>
        <charset val="1"/>
      </rPr>
      <t xml:space="preserve">.</t>
    </r>
  </si>
  <si>
    <t xml:space="preserve">재원 구분이 없는 행</t>
  </si>
  <si>
    <r>
      <rPr>
        <sz val="9"/>
        <color rgb="FF44565C"/>
        <rFont val="Noto Sans CJK SC"/>
        <family val="2"/>
      </rPr>
      <t xml:space="preserve">재원 집계 합계가 비목 합계와 달라집니다</t>
    </r>
    <r>
      <rPr>
        <sz val="9"/>
        <color rgb="FF44565C"/>
        <rFont val="맑은 고딕"/>
        <family val="0"/>
        <charset val="1"/>
      </rPr>
      <t xml:space="preserve">.</t>
    </r>
  </si>
  <si>
    <r>
      <rPr>
        <b val="true"/>
        <sz val="10"/>
        <color rgb="FFC9553D"/>
        <rFont val="맑은 고딕"/>
        <family val="0"/>
        <charset val="1"/>
      </rPr>
      <t xml:space="preserve">※ '</t>
    </r>
    <r>
      <rPr>
        <b val="true"/>
        <sz val="10"/>
        <color rgb="FFC9553D"/>
        <rFont val="Noto Sans CJK SC"/>
        <family val="2"/>
      </rPr>
      <t xml:space="preserve">적합</t>
    </r>
    <r>
      <rPr>
        <b val="true"/>
        <sz val="10"/>
        <color rgb="FFC9553D"/>
        <rFont val="맑은 고딕"/>
        <family val="0"/>
        <charset val="1"/>
      </rPr>
      <t xml:space="preserve">'</t>
    </r>
    <r>
      <rPr>
        <b val="true"/>
        <sz val="10"/>
        <color rgb="FFC9553D"/>
        <rFont val="Noto Sans CJK SC"/>
        <family val="2"/>
      </rPr>
      <t xml:space="preserve">이 아닌 항목이 하나라도 있으면 제출하지 마세요</t>
    </r>
    <r>
      <rPr>
        <b val="true"/>
        <sz val="10"/>
        <color rgb="FFC9553D"/>
        <rFont val="맑은 고딕"/>
        <family val="0"/>
        <charset val="1"/>
      </rPr>
      <t xml:space="preserve">. </t>
    </r>
    <r>
      <rPr>
        <b val="true"/>
        <sz val="10"/>
        <color rgb="FFC9553D"/>
        <rFont val="Noto Sans CJK SC"/>
        <family val="2"/>
      </rPr>
      <t xml:space="preserve">심사에서 가장 먼저 지적되는 부분입니다</t>
    </r>
    <r>
      <rPr>
        <b val="true"/>
        <sz val="10"/>
        <color rgb="FFC9553D"/>
        <rFont val="맑은 고딕"/>
        <family val="0"/>
        <charset val="1"/>
      </rPr>
      <t xml:space="preserve">.</t>
    </r>
  </si>
  <si>
    <t xml:space="preserve">④ 산출근거 자료 출처표</t>
  </si>
  <si>
    <r>
      <rPr>
        <sz val="9"/>
        <color rgb="FF44565C"/>
        <rFont val="Noto Sans CJK SC"/>
        <family val="2"/>
      </rPr>
      <t xml:space="preserve">예산의 </t>
    </r>
    <r>
      <rPr>
        <sz val="9"/>
        <color rgb="FF44565C"/>
        <rFont val="맑은 고딕"/>
        <family val="0"/>
        <charset val="1"/>
      </rPr>
      <t xml:space="preserve">'</t>
    </r>
    <r>
      <rPr>
        <sz val="9"/>
        <color rgb="FF44565C"/>
        <rFont val="Noto Sans CJK SC"/>
        <family val="2"/>
      </rPr>
      <t xml:space="preserve">단가</t>
    </r>
    <r>
      <rPr>
        <sz val="9"/>
        <color rgb="FF44565C"/>
        <rFont val="맑은 고딕"/>
        <family val="0"/>
        <charset val="1"/>
      </rPr>
      <t xml:space="preserve">'</t>
    </r>
    <r>
      <rPr>
        <sz val="9"/>
        <color rgb="FF44565C"/>
        <rFont val="Noto Sans CJK SC"/>
        <family val="2"/>
      </rPr>
      <t xml:space="preserve">는 아래 공식 자료 중 하나를 근거로 잡습니다</t>
    </r>
    <r>
      <rPr>
        <sz val="9"/>
        <color rgb="FF44565C"/>
        <rFont val="맑은 고딕"/>
        <family val="0"/>
        <charset val="1"/>
      </rPr>
      <t xml:space="preserve">. </t>
    </r>
    <r>
      <rPr>
        <sz val="9"/>
        <color rgb="FF44565C"/>
        <rFont val="Noto Sans CJK SC"/>
        <family val="2"/>
      </rPr>
      <t xml:space="preserve">근거가 셋</t>
    </r>
    <r>
      <rPr>
        <sz val="9"/>
        <color rgb="FF44565C"/>
        <rFont val="맑은 고딕"/>
        <family val="0"/>
        <charset val="1"/>
      </rPr>
      <t xml:space="preserve">(</t>
    </r>
    <r>
      <rPr>
        <sz val="9"/>
        <color rgb="FF44565C"/>
        <rFont val="Noto Sans CJK SC"/>
        <family val="2"/>
      </rPr>
      <t xml:space="preserve">공식 단가표 </t>
    </r>
    <r>
      <rPr>
        <sz val="9"/>
        <color rgb="FF44565C"/>
        <rFont val="맑은 고딕"/>
        <family val="0"/>
        <charset val="1"/>
      </rPr>
      <t xml:space="preserve">/ </t>
    </r>
    <r>
      <rPr>
        <sz val="9"/>
        <color rgb="FF44565C"/>
        <rFont val="Noto Sans CJK SC"/>
        <family val="2"/>
      </rPr>
      <t xml:space="preserve">기관 내부 규정 </t>
    </r>
    <r>
      <rPr>
        <sz val="9"/>
        <color rgb="FF44565C"/>
        <rFont val="맑은 고딕"/>
        <family val="0"/>
        <charset val="1"/>
      </rPr>
      <t xml:space="preserve">/ </t>
    </r>
    <r>
      <rPr>
        <sz val="9"/>
        <color rgb="FF44565C"/>
        <rFont val="Noto Sans CJK SC"/>
        <family val="2"/>
      </rPr>
      <t xml:space="preserve">견적서</t>
    </r>
    <r>
      <rPr>
        <sz val="9"/>
        <color rgb="FF44565C"/>
        <rFont val="맑은 고딕"/>
        <family val="0"/>
        <charset val="1"/>
      </rPr>
      <t xml:space="preserve">) </t>
    </r>
    <r>
      <rPr>
        <sz val="9"/>
        <color rgb="FF44565C"/>
        <rFont val="Noto Sans CJK SC"/>
        <family val="2"/>
      </rPr>
      <t xml:space="preserve">중 하나에 걸리면 감액 지적을 받지 않습니다</t>
    </r>
    <r>
      <rPr>
        <sz val="9"/>
        <color rgb="FF44565C"/>
        <rFont val="맑은 고딕"/>
        <family val="0"/>
        <charset val="1"/>
      </rPr>
      <t xml:space="preserve">.</t>
    </r>
  </si>
  <si>
    <r>
      <rPr>
        <b val="true"/>
        <sz val="9"/>
        <color rgb="FFC9553D"/>
        <rFont val="Noto Sans CJK SC"/>
        <family val="2"/>
      </rPr>
      <t xml:space="preserve">※ 사이트 주소를 클릭하면 해당 기관으로 이동합니다</t>
    </r>
    <r>
      <rPr>
        <b val="true"/>
        <sz val="9"/>
        <color rgb="FFC9553D"/>
        <rFont val="맑은 고딕"/>
        <family val="0"/>
        <charset val="1"/>
      </rPr>
      <t xml:space="preserve">. </t>
    </r>
    <r>
      <rPr>
        <b val="true"/>
        <sz val="9"/>
        <color rgb="FFC9553D"/>
        <rFont val="Noto Sans CJK SC"/>
        <family val="2"/>
      </rPr>
      <t xml:space="preserve">자료는 매년 갱신되므로 반드시 해당 연도 판을 확인하세요</t>
    </r>
    <r>
      <rPr>
        <b val="true"/>
        <sz val="9"/>
        <color rgb="FFC9553D"/>
        <rFont val="맑은 고딕"/>
        <family val="0"/>
        <charset val="1"/>
      </rPr>
      <t xml:space="preserve">.</t>
    </r>
  </si>
  <si>
    <t xml:space="preserve">사업 유형</t>
  </si>
  <si>
    <t xml:space="preserve">근거 자료명</t>
  </si>
  <si>
    <t xml:space="preserve">발표 기관</t>
  </si>
  <si>
    <t xml:space="preserve">자료 받는 곳</t>
  </si>
  <si>
    <t xml:space="preserve">적용 주기</t>
  </si>
  <si>
    <r>
      <rPr>
        <b val="true"/>
        <sz val="10"/>
        <color rgb="FF0B3C49"/>
        <rFont val="Noto Sans CJK SC"/>
        <family val="2"/>
      </rPr>
      <t xml:space="preserve">공사</t>
    </r>
    <r>
      <rPr>
        <b val="true"/>
        <sz val="10"/>
        <color rgb="FF0B3C49"/>
        <rFont val="맑은 고딕"/>
        <family val="0"/>
        <charset val="1"/>
      </rPr>
      <t xml:space="preserve">(</t>
    </r>
    <r>
      <rPr>
        <b val="true"/>
        <sz val="10"/>
        <color rgb="FF0B3C49"/>
        <rFont val="Noto Sans CJK SC"/>
        <family val="2"/>
      </rPr>
      <t xml:space="preserve">토목</t>
    </r>
    <r>
      <rPr>
        <b val="true"/>
        <sz val="10"/>
        <color rgb="FF0B3C49"/>
        <rFont val="맑은 고딕"/>
        <family val="0"/>
        <charset val="1"/>
      </rPr>
      <t xml:space="preserve">·</t>
    </r>
    <r>
      <rPr>
        <b val="true"/>
        <sz val="10"/>
        <color rgb="FF0B3C49"/>
        <rFont val="Noto Sans CJK SC"/>
        <family val="2"/>
      </rPr>
      <t xml:space="preserve">건축</t>
    </r>
    <r>
      <rPr>
        <b val="true"/>
        <sz val="10"/>
        <color rgb="FF0B3C49"/>
        <rFont val="맑은 고딕"/>
        <family val="0"/>
        <charset val="1"/>
      </rPr>
      <t xml:space="preserve">)</t>
    </r>
  </si>
  <si>
    <t xml:space="preserve">건설공사 표준품셈</t>
  </si>
  <si>
    <r>
      <rPr>
        <sz val="10"/>
        <color rgb="FF44565C"/>
        <rFont val="Noto Sans CJK SC"/>
        <family val="2"/>
      </rPr>
      <t xml:space="preserve">국토교통부 </t>
    </r>
    <r>
      <rPr>
        <sz val="10"/>
        <color rgb="FF44565C"/>
        <rFont val="맑은 고딕"/>
        <family val="0"/>
        <charset val="1"/>
      </rPr>
      <t xml:space="preserve">· </t>
    </r>
    <r>
      <rPr>
        <sz val="10"/>
        <color rgb="FF44565C"/>
        <rFont val="Noto Sans CJK SC"/>
        <family val="2"/>
      </rPr>
      <t xml:space="preserve">건설기술연구원</t>
    </r>
  </si>
  <si>
    <t xml:space="preserve">codil.or.kr</t>
  </si>
  <si>
    <r>
      <rPr>
        <sz val="10"/>
        <color rgb="FF44565C"/>
        <rFont val="Noto Sans CJK SC"/>
        <family val="2"/>
      </rPr>
      <t xml:space="preserve">매년 </t>
    </r>
    <r>
      <rPr>
        <sz val="10"/>
        <color rgb="FF44565C"/>
        <rFont val="맑은 고딕"/>
        <family val="0"/>
        <charset val="1"/>
      </rPr>
      <t xml:space="preserve">1</t>
    </r>
    <r>
      <rPr>
        <sz val="10"/>
        <color rgb="FF44565C"/>
        <rFont val="Noto Sans CJK SC"/>
        <family val="2"/>
      </rPr>
      <t xml:space="preserve">월</t>
    </r>
  </si>
  <si>
    <t xml:space="preserve">건설공사 표준시장단가</t>
  </si>
  <si>
    <t xml:space="preserve">국토교통부</t>
  </si>
  <si>
    <r>
      <rPr>
        <sz val="10"/>
        <color rgb="FF44565C"/>
        <rFont val="Noto Sans CJK SC"/>
        <family val="2"/>
      </rPr>
      <t xml:space="preserve">반기</t>
    </r>
    <r>
      <rPr>
        <sz val="10"/>
        <color rgb="FF44565C"/>
        <rFont val="맑은 고딕"/>
        <family val="0"/>
        <charset val="1"/>
      </rPr>
      <t xml:space="preserve">(1</t>
    </r>
    <r>
      <rPr>
        <sz val="10"/>
        <color rgb="FF44565C"/>
        <rFont val="Noto Sans CJK SC"/>
        <family val="2"/>
      </rPr>
      <t xml:space="preserve">월</t>
    </r>
    <r>
      <rPr>
        <sz val="10"/>
        <color rgb="FF44565C"/>
        <rFont val="맑은 고딕"/>
        <family val="0"/>
        <charset val="1"/>
      </rPr>
      <t xml:space="preserve">·7</t>
    </r>
    <r>
      <rPr>
        <sz val="10"/>
        <color rgb="FF44565C"/>
        <rFont val="Noto Sans CJK SC"/>
        <family val="2"/>
      </rPr>
      <t xml:space="preserve">월</t>
    </r>
    <r>
      <rPr>
        <sz val="10"/>
        <color rgb="FF44565C"/>
        <rFont val="맑은 고딕"/>
        <family val="0"/>
        <charset val="1"/>
      </rPr>
      <t xml:space="preserve">)</t>
    </r>
  </si>
  <si>
    <r>
      <rPr>
        <sz val="10"/>
        <color rgb="FF44565C"/>
        <rFont val="Noto Sans CJK SC"/>
        <family val="2"/>
      </rPr>
      <t xml:space="preserve">표준일위대가 </t>
    </r>
    <r>
      <rPr>
        <sz val="10"/>
        <color rgb="FF44565C"/>
        <rFont val="맑은 고딕"/>
        <family val="0"/>
        <charset val="1"/>
      </rPr>
      <t xml:space="preserve">· </t>
    </r>
    <r>
      <rPr>
        <sz val="10"/>
        <color rgb="FF44565C"/>
        <rFont val="Noto Sans CJK SC"/>
        <family val="2"/>
      </rPr>
      <t xml:space="preserve">원가제비율</t>
    </r>
  </si>
  <si>
    <t xml:space="preserve">조달청</t>
  </si>
  <si>
    <t xml:space="preserve">g2b.go.kr</t>
  </si>
  <si>
    <t xml:space="preserve">반기</t>
  </si>
  <si>
    <t xml:space="preserve">공사비 종합</t>
  </si>
  <si>
    <t xml:space="preserve">공사비 원가 관리 자료</t>
  </si>
  <si>
    <t xml:space="preserve">건설기술연구원 공사비원가관리센터</t>
  </si>
  <si>
    <t xml:space="preserve">cost.kict.re.kr</t>
  </si>
  <si>
    <t xml:space="preserve">수시</t>
  </si>
  <si>
    <r>
      <rPr>
        <b val="true"/>
        <sz val="10"/>
        <color rgb="FF0B3C49"/>
        <rFont val="Noto Sans CJK SC"/>
        <family val="2"/>
      </rPr>
      <t xml:space="preserve">학술 </t>
    </r>
    <r>
      <rPr>
        <b val="true"/>
        <sz val="10"/>
        <color rgb="FF0B3C49"/>
        <rFont val="맑은 고딕"/>
        <family val="0"/>
        <charset val="1"/>
      </rPr>
      <t xml:space="preserve">· </t>
    </r>
    <r>
      <rPr>
        <b val="true"/>
        <sz val="10"/>
        <color rgb="FF0B3C49"/>
        <rFont val="Noto Sans CJK SC"/>
        <family val="2"/>
      </rPr>
      <t xml:space="preserve">연구용역</t>
    </r>
  </si>
  <si>
    <t xml:space="preserve">학술연구용역 인건비 기준단가</t>
  </si>
  <si>
    <r>
      <rPr>
        <sz val="10"/>
        <color rgb="FF44565C"/>
        <rFont val="Noto Sans CJK SC"/>
        <family val="2"/>
      </rPr>
      <t xml:space="preserve">행정안전부 </t>
    </r>
    <r>
      <rPr>
        <sz val="10"/>
        <color rgb="FF44565C"/>
        <rFont val="맑은 고딕"/>
        <family val="0"/>
        <charset val="1"/>
      </rPr>
      <t xml:space="preserve">(</t>
    </r>
    <r>
      <rPr>
        <sz val="10"/>
        <color rgb="FF44565C"/>
        <rFont val="Noto Sans CJK SC"/>
        <family val="2"/>
      </rPr>
      <t xml:space="preserve">고시</t>
    </r>
    <r>
      <rPr>
        <sz val="10"/>
        <color rgb="FF44565C"/>
        <rFont val="맑은 고딕"/>
        <family val="0"/>
        <charset val="1"/>
      </rPr>
      <t xml:space="preserve">)</t>
    </r>
  </si>
  <si>
    <t xml:space="preserve">mois.go.kr</t>
  </si>
  <si>
    <t xml:space="preserve">매년</t>
  </si>
  <si>
    <r>
      <rPr>
        <b val="true"/>
        <sz val="10"/>
        <color rgb="FF0B3C49"/>
        <rFont val="Noto Sans CJK SC"/>
        <family val="2"/>
      </rPr>
      <t xml:space="preserve">엔지니어링</t>
    </r>
    <r>
      <rPr>
        <b val="true"/>
        <sz val="10"/>
        <color rgb="FF0B3C49"/>
        <rFont val="맑은 고딕"/>
        <family val="0"/>
        <charset val="1"/>
      </rPr>
      <t xml:space="preserve">(</t>
    </r>
    <r>
      <rPr>
        <b val="true"/>
        <sz val="10"/>
        <color rgb="FF0B3C49"/>
        <rFont val="Noto Sans CJK SC"/>
        <family val="2"/>
      </rPr>
      <t xml:space="preserve">설계</t>
    </r>
    <r>
      <rPr>
        <b val="true"/>
        <sz val="10"/>
        <color rgb="FF0B3C49"/>
        <rFont val="맑은 고딕"/>
        <family val="0"/>
        <charset val="1"/>
      </rPr>
      <t xml:space="preserve">·</t>
    </r>
    <r>
      <rPr>
        <b val="true"/>
        <sz val="10"/>
        <color rgb="FF0B3C49"/>
        <rFont val="Noto Sans CJK SC"/>
        <family val="2"/>
      </rPr>
      <t xml:space="preserve">감리</t>
    </r>
    <r>
      <rPr>
        <b val="true"/>
        <sz val="10"/>
        <color rgb="FF0B3C49"/>
        <rFont val="맑은 고딕"/>
        <family val="0"/>
        <charset val="1"/>
      </rPr>
      <t xml:space="preserve">)</t>
    </r>
  </si>
  <si>
    <t xml:space="preserve">엔지니어링업체 임금실태조사</t>
  </si>
  <si>
    <t xml:space="preserve">한국엔지니어링협회</t>
  </si>
  <si>
    <t xml:space="preserve">kpi.or.kr</t>
  </si>
  <si>
    <r>
      <rPr>
        <b val="true"/>
        <sz val="10"/>
        <color rgb="FF0B3C49"/>
        <rFont val="맑은 고딕"/>
        <family val="0"/>
        <charset val="1"/>
      </rPr>
      <t xml:space="preserve">SW · </t>
    </r>
    <r>
      <rPr>
        <b val="true"/>
        <sz val="10"/>
        <color rgb="FF0B3C49"/>
        <rFont val="Noto Sans CJK SC"/>
        <family val="2"/>
      </rPr>
      <t xml:space="preserve">정보화</t>
    </r>
  </si>
  <si>
    <r>
      <rPr>
        <sz val="10"/>
        <color rgb="FF44565C"/>
        <rFont val="맑은 고딕"/>
        <family val="0"/>
        <charset val="1"/>
      </rPr>
      <t xml:space="preserve">SW</t>
    </r>
    <r>
      <rPr>
        <sz val="10"/>
        <color rgb="FF44565C"/>
        <rFont val="Noto Sans CJK SC"/>
        <family val="2"/>
      </rPr>
      <t xml:space="preserve">기술자 평균임금 공표</t>
    </r>
  </si>
  <si>
    <t xml:space="preserve">한국소프트웨어산업협회</t>
  </si>
  <si>
    <r>
      <rPr>
        <sz val="10"/>
        <color rgb="FF44565C"/>
        <rFont val="Noto Sans CJK SC"/>
        <family val="2"/>
      </rPr>
      <t xml:space="preserve">매년</t>
    </r>
    <r>
      <rPr>
        <sz val="10"/>
        <color rgb="FF44565C"/>
        <rFont val="맑은 고딕"/>
        <family val="0"/>
        <charset val="1"/>
      </rPr>
      <t xml:space="preserve">(1.1~12.31)</t>
    </r>
  </si>
  <si>
    <t xml:space="preserve">입찰 평가 기준</t>
  </si>
  <si>
    <r>
      <rPr>
        <sz val="10"/>
        <color rgb="FF44565C"/>
        <rFont val="Noto Sans CJK SC"/>
        <family val="2"/>
      </rPr>
      <t xml:space="preserve">협상에 의한 계약체결기준</t>
    </r>
    <r>
      <rPr>
        <sz val="10"/>
        <color rgb="FF44565C"/>
        <rFont val="맑은 고딕"/>
        <family val="0"/>
        <charset val="1"/>
      </rPr>
      <t xml:space="preserve">(</t>
    </r>
    <r>
      <rPr>
        <sz val="10"/>
        <color rgb="FF44565C"/>
        <rFont val="Noto Sans CJK SC"/>
        <family val="2"/>
      </rPr>
      <t xml:space="preserve">계약예규</t>
    </r>
    <r>
      <rPr>
        <sz val="10"/>
        <color rgb="FF44565C"/>
        <rFont val="맑은 고딕"/>
        <family val="0"/>
        <charset val="1"/>
      </rPr>
      <t xml:space="preserve">)</t>
    </r>
  </si>
  <si>
    <t xml:space="preserve">기획재정부</t>
  </si>
  <si>
    <t xml:space="preserve">law.go.kr</t>
  </si>
  <si>
    <t xml:space="preserve">개정 시</t>
  </si>
  <si>
    <t xml:space="preserve">협상에 의한 계약 제안서평가 세부기준</t>
  </si>
  <si>
    <r>
      <rPr>
        <sz val="10"/>
        <color rgb="FF44565C"/>
        <rFont val="Noto Sans CJK SC"/>
        <family val="2"/>
      </rPr>
      <t xml:space="preserve">조달청 </t>
    </r>
    <r>
      <rPr>
        <sz val="10"/>
        <color rgb="FF44565C"/>
        <rFont val="맑은 고딕"/>
        <family val="0"/>
        <charset val="1"/>
      </rPr>
      <t xml:space="preserve">(</t>
    </r>
    <r>
      <rPr>
        <sz val="10"/>
        <color rgb="FF44565C"/>
        <rFont val="Noto Sans CJK SC"/>
        <family val="2"/>
      </rPr>
      <t xml:space="preserve">지침</t>
    </r>
    <r>
      <rPr>
        <sz val="10"/>
        <color rgb="FF44565C"/>
        <rFont val="맑은 고딕"/>
        <family val="0"/>
        <charset val="1"/>
      </rPr>
      <t xml:space="preserve">)</t>
    </r>
  </si>
  <si>
    <r>
      <rPr>
        <b val="true"/>
        <sz val="10"/>
        <color rgb="FF0B3C49"/>
        <rFont val="Noto Sans CJK SC"/>
        <family val="2"/>
      </rPr>
      <t xml:space="preserve">여비 </t>
    </r>
    <r>
      <rPr>
        <b val="true"/>
        <sz val="10"/>
        <color rgb="FF0B3C49"/>
        <rFont val="맑은 고딕"/>
        <family val="0"/>
        <charset val="1"/>
      </rPr>
      <t xml:space="preserve">· </t>
    </r>
    <r>
      <rPr>
        <b val="true"/>
        <sz val="10"/>
        <color rgb="FF0B3C49"/>
        <rFont val="Noto Sans CJK SC"/>
        <family val="2"/>
      </rPr>
      <t xml:space="preserve">출장비</t>
    </r>
  </si>
  <si>
    <t xml:space="preserve">공무원 여비 규정</t>
  </si>
  <si>
    <t xml:space="preserve">인사혁신처</t>
  </si>
  <si>
    <t xml:space="preserve">물품 구매</t>
  </si>
  <si>
    <t xml:space="preserve">종합쇼핑몰 계약단가</t>
  </si>
  <si>
    <t xml:space="preserve">상시</t>
  </si>
  <si>
    <r>
      <rPr>
        <b val="true"/>
        <sz val="10"/>
        <color rgb="FF0B3C49"/>
        <rFont val="Noto Sans CJK SC"/>
        <family val="2"/>
      </rPr>
      <t xml:space="preserve">보조사업</t>
    </r>
    <r>
      <rPr>
        <b val="true"/>
        <sz val="10"/>
        <color rgb="FF0B3C49"/>
        <rFont val="맑은 고딕"/>
        <family val="0"/>
        <charset val="1"/>
      </rPr>
      <t xml:space="preserve">(</t>
    </r>
    <r>
      <rPr>
        <b val="true"/>
        <sz val="10"/>
        <color rgb="FF0B3C49"/>
        <rFont val="Noto Sans CJK SC"/>
        <family val="2"/>
      </rPr>
      <t xml:space="preserve">교육</t>
    </r>
    <r>
      <rPr>
        <b val="true"/>
        <sz val="10"/>
        <color rgb="FF0B3C49"/>
        <rFont val="맑은 고딕"/>
        <family val="0"/>
        <charset val="1"/>
      </rPr>
      <t xml:space="preserve">·</t>
    </r>
    <r>
      <rPr>
        <b val="true"/>
        <sz val="10"/>
        <color rgb="FF0B3C49"/>
        <rFont val="Noto Sans CJK SC"/>
        <family val="2"/>
      </rPr>
      <t xml:space="preserve">문화</t>
    </r>
    <r>
      <rPr>
        <b val="true"/>
        <sz val="10"/>
        <color rgb="FF0B3C49"/>
        <rFont val="맑은 고딕"/>
        <family val="0"/>
        <charset val="1"/>
      </rPr>
      <t xml:space="preserve">)</t>
    </r>
  </si>
  <si>
    <t xml:space="preserve">공고문 예산편성 기준</t>
  </si>
  <si>
    <t xml:space="preserve">발주기관</t>
  </si>
  <si>
    <t xml:space="preserve">해당 공고문 첨부파일</t>
  </si>
  <si>
    <t xml:space="preserve">공고별</t>
  </si>
  <si>
    <t xml:space="preserve">소관부처 보조금 관리 지침</t>
  </si>
  <si>
    <t xml:space="preserve">소관 부처</t>
  </si>
  <si>
    <t xml:space="preserve">해당 부처 홈페이지</t>
  </si>
  <si>
    <t xml:space="preserve">기관 강사비 지급기준</t>
  </si>
  <si>
    <r>
      <rPr>
        <sz val="10"/>
        <color rgb="FF44565C"/>
        <rFont val="Noto Sans CJK SC"/>
        <family val="2"/>
      </rPr>
      <t xml:space="preserve">소속 </t>
    </r>
    <r>
      <rPr>
        <sz val="10"/>
        <color rgb="FF44565C"/>
        <rFont val="맑은 고딕"/>
        <family val="0"/>
        <charset val="1"/>
      </rPr>
      <t xml:space="preserve">· </t>
    </r>
    <r>
      <rPr>
        <sz val="10"/>
        <color rgb="FF44565C"/>
        <rFont val="Noto Sans CJK SC"/>
        <family val="2"/>
      </rPr>
      <t xml:space="preserve">발주 기관</t>
    </r>
  </si>
  <si>
    <t xml:space="preserve">기관 내부 규정</t>
  </si>
  <si>
    <r>
      <rPr>
        <b val="true"/>
        <sz val="10"/>
        <color rgb="FF0B3C49"/>
        <rFont val="Noto Sans CJK SC"/>
        <family val="2"/>
      </rPr>
      <t xml:space="preserve">물품 </t>
    </r>
    <r>
      <rPr>
        <b val="true"/>
        <sz val="10"/>
        <color rgb="FF0B3C49"/>
        <rFont val="맑은 고딕"/>
        <family val="0"/>
        <charset val="1"/>
      </rPr>
      <t xml:space="preserve">· </t>
    </r>
    <r>
      <rPr>
        <b val="true"/>
        <sz val="10"/>
        <color rgb="FF0B3C49"/>
        <rFont val="Noto Sans CJK SC"/>
        <family val="2"/>
      </rPr>
      <t xml:space="preserve">용역 일반</t>
    </r>
  </si>
  <si>
    <r>
      <rPr>
        <sz val="10"/>
        <color rgb="FF44565C"/>
        <rFont val="Noto Sans CJK SC"/>
        <family val="2"/>
      </rPr>
      <t xml:space="preserve">업체 견적서 </t>
    </r>
    <r>
      <rPr>
        <sz val="10"/>
        <color rgb="FF44565C"/>
        <rFont val="맑은 고딕"/>
        <family val="0"/>
        <charset val="1"/>
      </rPr>
      <t xml:space="preserve">3</t>
    </r>
    <r>
      <rPr>
        <sz val="10"/>
        <color rgb="FF44565C"/>
        <rFont val="Noto Sans CJK SC"/>
        <family val="2"/>
      </rPr>
      <t xml:space="preserve">곳 비교</t>
    </r>
  </si>
  <si>
    <t xml:space="preserve">거래 업체</t>
  </si>
  <si>
    <t xml:space="preserve">직접 수취 후 계획서 첨부</t>
  </si>
  <si>
    <t xml:space="preserve">건별</t>
  </si>
  <si>
    <r>
      <rPr>
        <b val="true"/>
        <sz val="12"/>
        <color rgb="FF028090"/>
        <rFont val="Noto Sans CJK SC"/>
        <family val="2"/>
      </rPr>
      <t xml:space="preserve">일위대가</t>
    </r>
    <r>
      <rPr>
        <b val="true"/>
        <sz val="12"/>
        <color rgb="FF028090"/>
        <rFont val="맑은 고딕"/>
        <family val="0"/>
        <charset val="1"/>
      </rPr>
      <t xml:space="preserve">, </t>
    </r>
    <r>
      <rPr>
        <b val="true"/>
        <sz val="12"/>
        <color rgb="FF028090"/>
        <rFont val="Noto Sans CJK SC"/>
        <family val="2"/>
      </rPr>
      <t xml:space="preserve">지금도 쓰나요</t>
    </r>
    <r>
      <rPr>
        <b val="true"/>
        <sz val="12"/>
        <color rgb="FF028090"/>
        <rFont val="맑은 고딕"/>
        <family val="0"/>
        <charset val="1"/>
      </rPr>
      <t xml:space="preserve">?</t>
    </r>
  </si>
  <si>
    <r>
      <rPr>
        <sz val="10"/>
        <color rgb="FF44565C"/>
        <rFont val="Noto Sans CJK SC"/>
        <family val="2"/>
      </rPr>
      <t xml:space="preserve">쓴다 — 단</t>
    </r>
    <r>
      <rPr>
        <sz val="10"/>
        <color rgb="FF44565C"/>
        <rFont val="맑은 고딕"/>
        <family val="0"/>
        <charset val="1"/>
      </rPr>
      <t xml:space="preserve">, </t>
    </r>
    <r>
      <rPr>
        <sz val="10"/>
        <color rgb="FF44565C"/>
        <rFont val="Noto Sans CJK SC"/>
        <family val="2"/>
      </rPr>
      <t xml:space="preserve">공사 분야에 한정됩니다</t>
    </r>
    <r>
      <rPr>
        <sz val="10"/>
        <color rgb="FF44565C"/>
        <rFont val="맑은 고딕"/>
        <family val="0"/>
        <charset val="1"/>
      </rPr>
      <t xml:space="preserve">. </t>
    </r>
    <r>
      <rPr>
        <sz val="10"/>
        <color rgb="FF44565C"/>
        <rFont val="Noto Sans CJK SC"/>
        <family val="2"/>
      </rPr>
      <t xml:space="preserve">일위대가는 단위 작업 하나</t>
    </r>
    <r>
      <rPr>
        <sz val="10"/>
        <color rgb="FF44565C"/>
        <rFont val="맑은 고딕"/>
        <family val="0"/>
        <charset val="1"/>
      </rPr>
      <t xml:space="preserve">(</t>
    </r>
    <r>
      <rPr>
        <sz val="10"/>
        <color rgb="FF44565C"/>
        <rFont val="Noto Sans CJK SC"/>
        <family val="2"/>
      </rPr>
      <t xml:space="preserve">예</t>
    </r>
    <r>
      <rPr>
        <sz val="10"/>
        <color rgb="FF44565C"/>
        <rFont val="맑은 고딕"/>
        <family val="0"/>
        <charset val="1"/>
      </rPr>
      <t xml:space="preserve">: </t>
    </r>
    <r>
      <rPr>
        <sz val="10"/>
        <color rgb="FF44565C"/>
        <rFont val="Noto Sans CJK SC"/>
        <family val="2"/>
      </rPr>
      <t xml:space="preserve">콘크리트 </t>
    </r>
    <r>
      <rPr>
        <sz val="10"/>
        <color rgb="FF44565C"/>
        <rFont val="맑은 고딕"/>
        <family val="0"/>
        <charset val="1"/>
      </rPr>
      <t xml:space="preserve">1</t>
    </r>
    <r>
      <rPr>
        <sz val="10"/>
        <color rgb="FF44565C"/>
        <rFont val="Noto Sans CJK SC"/>
        <family val="2"/>
      </rPr>
      <t xml:space="preserve">㎥</t>
    </r>
    <r>
      <rPr>
        <sz val="10"/>
        <color rgb="FF44565C"/>
        <rFont val="맑은 고딕"/>
        <family val="0"/>
        <charset val="1"/>
      </rPr>
      <t xml:space="preserve">)</t>
    </r>
    <r>
      <rPr>
        <sz val="10"/>
        <color rgb="FF44565C"/>
        <rFont val="Noto Sans CJK SC"/>
        <family val="2"/>
      </rPr>
      <t xml:space="preserve">를 완성하는 데 드는 재료</t>
    </r>
    <r>
      <rPr>
        <sz val="10"/>
        <color rgb="FF44565C"/>
        <rFont val="맑은 고딕"/>
        <family val="0"/>
        <charset val="1"/>
      </rPr>
      <t xml:space="preserve">·</t>
    </r>
    <r>
      <rPr>
        <sz val="10"/>
        <color rgb="FF44565C"/>
        <rFont val="Noto Sans CJK SC"/>
        <family val="2"/>
      </rPr>
      <t xml:space="preserve">노무</t>
    </r>
    <r>
      <rPr>
        <sz val="10"/>
        <color rgb="FF44565C"/>
        <rFont val="맑은 고딕"/>
        <family val="0"/>
        <charset val="1"/>
      </rPr>
      <t xml:space="preserve">·</t>
    </r>
    <r>
      <rPr>
        <sz val="10"/>
        <color rgb="FF44565C"/>
        <rFont val="Noto Sans CJK SC"/>
        <family val="2"/>
      </rPr>
      <t xml:space="preserve">장비를 표준품셈에 따라 쌓아 만든 단가표입니다</t>
    </r>
    <r>
      <rPr>
        <sz val="10"/>
        <color rgb="FF44565C"/>
        <rFont val="맑은 고딕"/>
        <family val="0"/>
        <charset val="1"/>
      </rPr>
      <t xml:space="preserve">.</t>
    </r>
  </si>
  <si>
    <r>
      <rPr>
        <sz val="10"/>
        <color rgb="FF44565C"/>
        <rFont val="Noto Sans CJK SC"/>
        <family val="2"/>
      </rPr>
      <t xml:space="preserve">교육</t>
    </r>
    <r>
      <rPr>
        <sz val="10"/>
        <color rgb="FF44565C"/>
        <rFont val="맑은 고딕"/>
        <family val="0"/>
        <charset val="1"/>
      </rPr>
      <t xml:space="preserve">·</t>
    </r>
    <r>
      <rPr>
        <sz val="10"/>
        <color rgb="FF44565C"/>
        <rFont val="Noto Sans CJK SC"/>
        <family val="2"/>
      </rPr>
      <t xml:space="preserve">문화</t>
    </r>
    <r>
      <rPr>
        <sz val="10"/>
        <color rgb="FF44565C"/>
        <rFont val="맑은 고딕"/>
        <family val="0"/>
        <charset val="1"/>
      </rPr>
      <t xml:space="preserve">·</t>
    </r>
    <r>
      <rPr>
        <sz val="10"/>
        <color rgb="FF44565C"/>
        <rFont val="Noto Sans CJK SC"/>
        <family val="2"/>
      </rPr>
      <t xml:space="preserve">복지 같은 프로그램형 보조사업 계획서에는 일위대가를 쓰지 않습니다</t>
    </r>
    <r>
      <rPr>
        <sz val="10"/>
        <color rgb="FF44565C"/>
        <rFont val="맑은 고딕"/>
        <family val="0"/>
        <charset val="1"/>
      </rPr>
      <t xml:space="preserve">. '</t>
    </r>
    <r>
      <rPr>
        <sz val="10"/>
        <color rgb="FF44565C"/>
        <rFont val="Noto Sans CJK SC"/>
        <family val="2"/>
      </rPr>
      <t xml:space="preserve">단가 </t>
    </r>
    <r>
      <rPr>
        <sz val="10"/>
        <color rgb="FF44565C"/>
        <rFont val="맑은 고딕"/>
        <family val="0"/>
        <charset val="1"/>
      </rPr>
      <t xml:space="preserve">× </t>
    </r>
    <r>
      <rPr>
        <sz val="10"/>
        <color rgb="FF44565C"/>
        <rFont val="Noto Sans CJK SC"/>
        <family val="2"/>
      </rPr>
      <t xml:space="preserve">수량 </t>
    </r>
    <r>
      <rPr>
        <sz val="10"/>
        <color rgb="FF44565C"/>
        <rFont val="맑은 고딕"/>
        <family val="0"/>
        <charset val="1"/>
      </rPr>
      <t xml:space="preserve">× </t>
    </r>
    <r>
      <rPr>
        <sz val="10"/>
        <color rgb="FF44565C"/>
        <rFont val="Noto Sans CJK SC"/>
        <family val="2"/>
      </rPr>
      <t xml:space="preserve">횟수</t>
    </r>
    <r>
      <rPr>
        <sz val="10"/>
        <color rgb="FF44565C"/>
        <rFont val="맑은 고딕"/>
        <family val="0"/>
        <charset val="1"/>
      </rPr>
      <t xml:space="preserve">'</t>
    </r>
    <r>
      <rPr>
        <sz val="10"/>
        <color rgb="FF44565C"/>
        <rFont val="Noto Sans CJK SC"/>
        <family val="2"/>
      </rPr>
      <t xml:space="preserve">로 충분하며</t>
    </r>
    <r>
      <rPr>
        <sz val="10"/>
        <color rgb="FF44565C"/>
        <rFont val="맑은 고딕"/>
        <family val="0"/>
        <charset val="1"/>
      </rPr>
      <t xml:space="preserve">, </t>
    </r>
    <r>
      <rPr>
        <sz val="10"/>
        <color rgb="FF44565C"/>
        <rFont val="Noto Sans CJK SC"/>
        <family val="2"/>
      </rPr>
      <t xml:space="preserve">오히려 넣으면 형식이 맞지 않습니다</t>
    </r>
    <r>
      <rPr>
        <sz val="10"/>
        <color rgb="FF44565C"/>
        <rFont val="맑은 고딕"/>
        <family val="0"/>
        <charset val="1"/>
      </rPr>
      <t xml:space="preserve">.</t>
    </r>
  </si>
  <si>
    <r>
      <rPr>
        <b val="true"/>
        <sz val="12"/>
        <color rgb="FF028090"/>
        <rFont val="Noto Sans CJK SC"/>
        <family val="2"/>
      </rPr>
      <t xml:space="preserve">집행 불가 항목 </t>
    </r>
    <r>
      <rPr>
        <b val="true"/>
        <sz val="12"/>
        <color rgb="FF028090"/>
        <rFont val="맑은 고딕"/>
        <family val="0"/>
        <charset val="1"/>
      </rPr>
      <t xml:space="preserve">(</t>
    </r>
    <r>
      <rPr>
        <b val="true"/>
        <sz val="12"/>
        <color rgb="FF028090"/>
        <rFont val="Noto Sans CJK SC"/>
        <family val="2"/>
      </rPr>
      <t xml:space="preserve">대표 사례 — 공고마다 다르므로 반드시 해당 지침 확인</t>
    </r>
    <r>
      <rPr>
        <b val="true"/>
        <sz val="12"/>
        <color rgb="FF028090"/>
        <rFont val="맑은 고딕"/>
        <family val="0"/>
        <charset val="1"/>
      </rPr>
      <t xml:space="preserve">)</t>
    </r>
  </si>
  <si>
    <r>
      <rPr>
        <sz val="10"/>
        <color rgb="FFC9553D"/>
        <rFont val="맑은 고딕"/>
        <family val="0"/>
        <charset val="1"/>
      </rPr>
      <t xml:space="preserve">· </t>
    </r>
    <r>
      <rPr>
        <sz val="10"/>
        <color rgb="FFC9553D"/>
        <rFont val="Noto Sans CJK SC"/>
        <family val="2"/>
      </rPr>
      <t xml:space="preserve">자산 취득비</t>
    </r>
    <r>
      <rPr>
        <sz val="10"/>
        <color rgb="FFC9553D"/>
        <rFont val="맑은 고딕"/>
        <family val="0"/>
        <charset val="1"/>
      </rPr>
      <t xml:space="preserve">(</t>
    </r>
    <r>
      <rPr>
        <sz val="10"/>
        <color rgb="FFC9553D"/>
        <rFont val="Noto Sans CJK SC"/>
        <family val="2"/>
      </rPr>
      <t xml:space="preserve">장비</t>
    </r>
    <r>
      <rPr>
        <sz val="10"/>
        <color rgb="FFC9553D"/>
        <rFont val="맑은 고딕"/>
        <family val="0"/>
        <charset val="1"/>
      </rPr>
      <t xml:space="preserve">·</t>
    </r>
    <r>
      <rPr>
        <sz val="10"/>
        <color rgb="FFC9553D"/>
        <rFont val="Noto Sans CJK SC"/>
        <family val="2"/>
      </rPr>
      <t xml:space="preserve">비품 구입</t>
    </r>
    <r>
      <rPr>
        <sz val="10"/>
        <color rgb="FFC9553D"/>
        <rFont val="맑은 고딕"/>
        <family val="0"/>
        <charset val="1"/>
      </rPr>
      <t xml:space="preserve">) — </t>
    </r>
    <r>
      <rPr>
        <sz val="10"/>
        <color rgb="FFC9553D"/>
        <rFont val="Noto Sans CJK SC"/>
        <family val="2"/>
      </rPr>
      <t xml:space="preserve">사업 종료 후 잔존가치가 남는 항목</t>
    </r>
  </si>
  <si>
    <r>
      <rPr>
        <sz val="10"/>
        <color rgb="FFC9553D"/>
        <rFont val="맑은 고딕"/>
        <family val="0"/>
        <charset val="1"/>
      </rPr>
      <t xml:space="preserve">· </t>
    </r>
    <r>
      <rPr>
        <sz val="10"/>
        <color rgb="FFC9553D"/>
        <rFont val="Noto Sans CJK SC"/>
        <family val="2"/>
      </rPr>
      <t xml:space="preserve">순수 식비 </t>
    </r>
    <r>
      <rPr>
        <sz val="10"/>
        <color rgb="FFC9553D"/>
        <rFont val="맑은 고딕"/>
        <family val="0"/>
        <charset val="1"/>
      </rPr>
      <t xml:space="preserve">· </t>
    </r>
    <r>
      <rPr>
        <sz val="10"/>
        <color rgb="FFC9553D"/>
        <rFont val="Noto Sans CJK SC"/>
        <family val="2"/>
      </rPr>
      <t xml:space="preserve">주류 — 사업 목적과 직접 관련 없는 식대</t>
    </r>
  </si>
  <si>
    <r>
      <rPr>
        <sz val="10"/>
        <color rgb="FFC9553D"/>
        <rFont val="맑은 고딕"/>
        <family val="0"/>
        <charset val="1"/>
      </rPr>
      <t xml:space="preserve">· </t>
    </r>
    <r>
      <rPr>
        <sz val="10"/>
        <color rgb="FFC9553D"/>
        <rFont val="Noto Sans CJK SC"/>
        <family val="2"/>
      </rPr>
      <t xml:space="preserve">상품권 </t>
    </r>
    <r>
      <rPr>
        <sz val="10"/>
        <color rgb="FFC9553D"/>
        <rFont val="맑은 고딕"/>
        <family val="0"/>
        <charset val="1"/>
      </rPr>
      <t xml:space="preserve">· </t>
    </r>
    <r>
      <rPr>
        <sz val="10"/>
        <color rgb="FFC9553D"/>
        <rFont val="Noto Sans CJK SC"/>
        <family val="2"/>
      </rPr>
      <t xml:space="preserve">기프티콘 — 현금성 지급으로 간주되는 경우가 많음</t>
    </r>
  </si>
  <si>
    <r>
      <rPr>
        <sz val="10"/>
        <color rgb="FFC9553D"/>
        <rFont val="맑은 고딕"/>
        <family val="0"/>
        <charset val="1"/>
      </rPr>
      <t xml:space="preserve">· </t>
    </r>
    <r>
      <rPr>
        <sz val="10"/>
        <color rgb="FFC9553D"/>
        <rFont val="Noto Sans CJK SC"/>
        <family val="2"/>
      </rPr>
      <t xml:space="preserve">인건비 성격의 자문료 중복 계상</t>
    </r>
  </si>
  <si>
    <r>
      <rPr>
        <sz val="10"/>
        <color rgb="FFC9553D"/>
        <rFont val="맑은 고딕"/>
        <family val="0"/>
        <charset val="1"/>
      </rPr>
      <t xml:space="preserve">· </t>
    </r>
    <r>
      <rPr>
        <sz val="10"/>
        <color rgb="FFC9553D"/>
        <rFont val="Noto Sans CJK SC"/>
        <family val="2"/>
      </rPr>
      <t xml:space="preserve">타 사업과 중복 계상된 비용 </t>
    </r>
    <r>
      <rPr>
        <sz val="10"/>
        <color rgb="FFC9553D"/>
        <rFont val="맑은 고딕"/>
        <family val="0"/>
        <charset val="1"/>
      </rPr>
      <t xml:space="preserve">(</t>
    </r>
    <r>
      <rPr>
        <sz val="10"/>
        <color rgb="FFC9553D"/>
        <rFont val="Noto Sans CJK SC"/>
        <family val="2"/>
      </rPr>
      <t xml:space="preserve">이중 수혜</t>
    </r>
    <r>
      <rPr>
        <sz val="10"/>
        <color rgb="FFC9553D"/>
        <rFont val="맑은 고딕"/>
        <family val="0"/>
        <charset val="1"/>
      </rPr>
      <t xml:space="preserve">)</t>
    </r>
  </si>
  <si>
    <t xml:space="preserve">단가 근거를 쓰는 순서</t>
  </si>
  <si>
    <r>
      <rPr>
        <sz val="10"/>
        <color rgb="FF44565C"/>
        <rFont val="맑은 고딕"/>
        <family val="0"/>
        <charset val="1"/>
      </rPr>
      <t xml:space="preserve">1</t>
    </r>
    <r>
      <rPr>
        <sz val="10"/>
        <color rgb="FF44565C"/>
        <rFont val="Noto Sans CJK SC"/>
        <family val="2"/>
      </rPr>
      <t xml:space="preserve">단계  공고문의 </t>
    </r>
    <r>
      <rPr>
        <sz val="10"/>
        <color rgb="FF44565C"/>
        <rFont val="맑은 고딕"/>
        <family val="0"/>
        <charset val="1"/>
      </rPr>
      <t xml:space="preserve">'</t>
    </r>
    <r>
      <rPr>
        <sz val="10"/>
        <color rgb="FF44565C"/>
        <rFont val="Noto Sans CJK SC"/>
        <family val="2"/>
      </rPr>
      <t xml:space="preserve">예산 편성 기준</t>
    </r>
    <r>
      <rPr>
        <sz val="10"/>
        <color rgb="FF44565C"/>
        <rFont val="맑은 고딕"/>
        <family val="0"/>
        <charset val="1"/>
      </rPr>
      <t xml:space="preserve">'</t>
    </r>
    <r>
      <rPr>
        <sz val="10"/>
        <color rgb="FF44565C"/>
        <rFont val="Noto Sans CJK SC"/>
        <family val="2"/>
      </rPr>
      <t xml:space="preserve">에서 비목별 한도와 집행 불가 항목을 먼저 확인한다</t>
    </r>
  </si>
  <si>
    <r>
      <rPr>
        <sz val="10"/>
        <color rgb="FF44565C"/>
        <rFont val="맑은 고딕"/>
        <family val="0"/>
        <charset val="1"/>
      </rPr>
      <t xml:space="preserve">2</t>
    </r>
    <r>
      <rPr>
        <sz val="10"/>
        <color rgb="FF44565C"/>
        <rFont val="Noto Sans CJK SC"/>
        <family val="2"/>
      </rPr>
      <t xml:space="preserve">단계  인건비성 경비</t>
    </r>
    <r>
      <rPr>
        <sz val="10"/>
        <color rgb="FF44565C"/>
        <rFont val="맑은 고딕"/>
        <family val="0"/>
        <charset val="1"/>
      </rPr>
      <t xml:space="preserve">(</t>
    </r>
    <r>
      <rPr>
        <sz val="10"/>
        <color rgb="FF44565C"/>
        <rFont val="Noto Sans CJK SC"/>
        <family val="2"/>
      </rPr>
      <t xml:space="preserve">인건비</t>
    </r>
    <r>
      <rPr>
        <sz val="10"/>
        <color rgb="FF44565C"/>
        <rFont val="맑은 고딕"/>
        <family val="0"/>
        <charset val="1"/>
      </rPr>
      <t xml:space="preserve">·</t>
    </r>
    <r>
      <rPr>
        <sz val="10"/>
        <color rgb="FF44565C"/>
        <rFont val="Noto Sans CJK SC"/>
        <family val="2"/>
      </rPr>
      <t xml:space="preserve">강사비</t>
    </r>
    <r>
      <rPr>
        <sz val="10"/>
        <color rgb="FF44565C"/>
        <rFont val="맑은 고딕"/>
        <family val="0"/>
        <charset val="1"/>
      </rPr>
      <t xml:space="preserve">·</t>
    </r>
    <r>
      <rPr>
        <sz val="10"/>
        <color rgb="FF44565C"/>
        <rFont val="Noto Sans CJK SC"/>
        <family val="2"/>
      </rPr>
      <t xml:space="preserve">여비</t>
    </r>
    <r>
      <rPr>
        <sz val="10"/>
        <color rgb="FF44565C"/>
        <rFont val="맑은 고딕"/>
        <family val="0"/>
        <charset val="1"/>
      </rPr>
      <t xml:space="preserve">)</t>
    </r>
    <r>
      <rPr>
        <sz val="10"/>
        <color rgb="FF44565C"/>
        <rFont val="Noto Sans CJK SC"/>
        <family val="2"/>
      </rPr>
      <t xml:space="preserve">는 위 표의 공식 단가표를 근거로 잡는다</t>
    </r>
  </si>
  <si>
    <r>
      <rPr>
        <sz val="10"/>
        <color rgb="FF44565C"/>
        <rFont val="맑은 고딕"/>
        <family val="0"/>
        <charset val="1"/>
      </rPr>
      <t xml:space="preserve">3</t>
    </r>
    <r>
      <rPr>
        <sz val="10"/>
        <color rgb="FF44565C"/>
        <rFont val="Noto Sans CJK SC"/>
        <family val="2"/>
      </rPr>
      <t xml:space="preserve">단계  물품</t>
    </r>
    <r>
      <rPr>
        <sz val="10"/>
        <color rgb="FF44565C"/>
        <rFont val="맑은 고딕"/>
        <family val="0"/>
        <charset val="1"/>
      </rPr>
      <t xml:space="preserve">·</t>
    </r>
    <r>
      <rPr>
        <sz val="10"/>
        <color rgb="FF44565C"/>
        <rFont val="Noto Sans CJK SC"/>
        <family val="2"/>
      </rPr>
      <t xml:space="preserve">용역은 견적서 </t>
    </r>
    <r>
      <rPr>
        <sz val="10"/>
        <color rgb="FF44565C"/>
        <rFont val="맑은 고딕"/>
        <family val="0"/>
        <charset val="1"/>
      </rPr>
      <t xml:space="preserve">3</t>
    </r>
    <r>
      <rPr>
        <sz val="10"/>
        <color rgb="FF44565C"/>
        <rFont val="Noto Sans CJK SC"/>
        <family val="2"/>
      </rPr>
      <t xml:space="preserve">곳을 받아 평균 또는 최저가를 쓰고</t>
    </r>
    <r>
      <rPr>
        <sz val="10"/>
        <color rgb="FF44565C"/>
        <rFont val="맑은 고딕"/>
        <family val="0"/>
        <charset val="1"/>
      </rPr>
      <t xml:space="preserve">, </t>
    </r>
    <r>
      <rPr>
        <sz val="10"/>
        <color rgb="FF44565C"/>
        <rFont val="Noto Sans CJK SC"/>
        <family val="2"/>
      </rPr>
      <t xml:space="preserve">견적서를 계획서에 첨부한다</t>
    </r>
  </si>
  <si>
    <r>
      <rPr>
        <sz val="10"/>
        <color rgb="FF44565C"/>
        <rFont val="맑은 고딕"/>
        <family val="0"/>
        <charset val="1"/>
      </rPr>
      <t xml:space="preserve">4</t>
    </r>
    <r>
      <rPr>
        <sz val="10"/>
        <color rgb="FF44565C"/>
        <rFont val="Noto Sans CJK SC"/>
        <family val="2"/>
      </rPr>
      <t xml:space="preserve">단계  </t>
    </r>
    <r>
      <rPr>
        <sz val="10"/>
        <color rgb="FF44565C"/>
        <rFont val="맑은 고딕"/>
        <family val="0"/>
        <charset val="1"/>
      </rPr>
      <t xml:space="preserve">[</t>
    </r>
    <r>
      <rPr>
        <sz val="10"/>
        <color rgb="FF44565C"/>
        <rFont val="Noto Sans CJK SC"/>
        <family val="2"/>
      </rPr>
      <t xml:space="preserve">산출근거입력</t>
    </r>
    <r>
      <rPr>
        <sz val="10"/>
        <color rgb="FF44565C"/>
        <rFont val="맑은 고딕"/>
        <family val="0"/>
        <charset val="1"/>
      </rPr>
      <t xml:space="preserve">] </t>
    </r>
    <r>
      <rPr>
        <sz val="10"/>
        <color rgb="FF44565C"/>
        <rFont val="Noto Sans CJK SC"/>
        <family val="2"/>
      </rPr>
      <t xml:space="preserve">시트의 </t>
    </r>
    <r>
      <rPr>
        <sz val="10"/>
        <color rgb="FF44565C"/>
        <rFont val="맑은 고딕"/>
        <family val="0"/>
        <charset val="1"/>
      </rPr>
      <t xml:space="preserve">'</t>
    </r>
    <r>
      <rPr>
        <sz val="10"/>
        <color rgb="FF44565C"/>
        <rFont val="Noto Sans CJK SC"/>
        <family val="2"/>
      </rPr>
      <t xml:space="preserve">비고</t>
    </r>
    <r>
      <rPr>
        <sz val="10"/>
        <color rgb="FF44565C"/>
        <rFont val="맑은 고딕"/>
        <family val="0"/>
        <charset val="1"/>
      </rPr>
      <t xml:space="preserve">'</t>
    </r>
    <r>
      <rPr>
        <sz val="10"/>
        <color rgb="FF44565C"/>
        <rFont val="Noto Sans CJK SC"/>
        <family val="2"/>
      </rPr>
      <t xml:space="preserve">란에 근거 자료명을 반드시 적어둔다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</si>
</sst>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(#,##0\);\-"/>
    <numFmt numFmtId="166" formatCode="#,##0"/>
    <numFmt numFmtId="167" formatCode="0.0%"/>
    <numFmt numFmtId="168" formatCode="@"/>
    <numFmt numFmtId="169" formatCode="#,##0\원"/>
    <numFmt numFmtId="170" formatCode="0\건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3C49"/>
      <name val="Noto Sans CJK SC"/>
      <family val="2"/>
    </font>
    <font>
      <sz val="10"/>
      <color rgb="FF44565C"/>
      <name val="Noto Sans CJK SC"/>
      <family val="2"/>
    </font>
    <font>
      <sz val="10"/>
      <color rgb="FF44565C"/>
      <name val="맑은 고딕"/>
      <family val="0"/>
      <charset val="1"/>
    </font>
    <font>
      <b val="true"/>
      <sz val="12"/>
      <color rgb="FF028090"/>
      <name val="Noto Sans CJK SC"/>
      <family val="2"/>
    </font>
    <font>
      <b val="true"/>
      <sz val="10"/>
      <color rgb="FF0B3C49"/>
      <name val="맑은 고딕"/>
      <family val="0"/>
      <charset val="1"/>
    </font>
    <font>
      <b val="true"/>
      <sz val="10"/>
      <color rgb="FF0B3C49"/>
      <name val="Noto Sans CJK SC"/>
      <family val="2"/>
    </font>
    <font>
      <b val="true"/>
      <sz val="14"/>
      <color rgb="FF0B3C49"/>
      <name val="Noto Sans CJK SC"/>
      <family val="2"/>
    </font>
    <font>
      <b val="true"/>
      <sz val="14"/>
      <color rgb="FF0B3C49"/>
      <name val="맑은 고딕"/>
      <family val="0"/>
      <charset val="1"/>
    </font>
    <font>
      <sz val="9"/>
      <color rgb="FFC9553D"/>
      <name val="Noto Sans CJK SC"/>
      <family val="2"/>
    </font>
    <font>
      <sz val="9"/>
      <color rgb="FFC9553D"/>
      <name val="맑은 고딕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맑은 고딕"/>
      <family val="0"/>
      <charset val="1"/>
    </font>
    <font>
      <sz val="10"/>
      <color rgb="FF0000FF"/>
      <name val="Noto Sans CJK SC"/>
      <family val="2"/>
    </font>
    <font>
      <sz val="10"/>
      <color rgb="FF0000FF"/>
      <name val="맑은 고딕"/>
      <family val="0"/>
      <charset val="1"/>
    </font>
    <font>
      <b val="true"/>
      <sz val="10"/>
      <color rgb="FF000000"/>
      <name val="맑은 고딕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맑은 고딕"/>
      <family val="0"/>
      <charset val="1"/>
    </font>
    <font>
      <sz val="10"/>
      <name val="Noto Sans CJK SC"/>
      <family val="2"/>
    </font>
    <font>
      <sz val="10"/>
      <name val="Arial"/>
      <family val="2"/>
    </font>
    <font>
      <sz val="9"/>
      <color rgb="FF44565C"/>
      <name val="맑은 고딕"/>
      <family val="0"/>
      <charset val="1"/>
    </font>
    <font>
      <sz val="9"/>
      <color rgb="FF44565C"/>
      <name val="Noto Sans CJK SC"/>
      <family val="2"/>
    </font>
    <font>
      <b val="true"/>
      <sz val="10"/>
      <color rgb="FF0000FF"/>
      <name val="맑은 고딕"/>
      <family val="0"/>
      <charset val="1"/>
    </font>
    <font>
      <b val="true"/>
      <sz val="12"/>
      <color rgb="FF0B3C49"/>
      <name val="Noto Sans CJK SC"/>
      <family val="2"/>
    </font>
    <font>
      <b val="true"/>
      <sz val="9"/>
      <color rgb="FFC9553D"/>
      <name val="Noto Sans CJK SC"/>
      <family val="2"/>
    </font>
    <font>
      <b val="true"/>
      <sz val="9"/>
      <color rgb="FFC9553D"/>
      <name val="맑은 고딕"/>
      <family val="0"/>
      <charset val="1"/>
    </font>
    <font>
      <sz val="11"/>
      <color theme="1"/>
      <name val="Noto Sans CJK SC"/>
      <family val="2"/>
    </font>
    <font>
      <b val="true"/>
      <sz val="10"/>
      <color rgb="FFC9553D"/>
      <name val="맑은 고딕"/>
      <family val="0"/>
      <charset val="1"/>
    </font>
    <font>
      <b val="true"/>
      <sz val="10"/>
      <color rgb="FFC9553D"/>
      <name val="Noto Sans CJK SC"/>
      <family val="2"/>
    </font>
    <font>
      <u val="single"/>
      <sz val="10"/>
      <color rgb="FF0563C1"/>
      <name val="맑은 고딕"/>
      <family val="0"/>
      <charset val="1"/>
    </font>
    <font>
      <b val="true"/>
      <sz val="12"/>
      <color rgb="FF028090"/>
      <name val="맑은 고딕"/>
      <family val="0"/>
      <charset val="1"/>
    </font>
    <font>
      <sz val="10"/>
      <color rgb="FFC9553D"/>
      <name val="맑은 고딕"/>
      <family val="0"/>
      <charset val="1"/>
    </font>
    <font>
      <sz val="10"/>
      <color rgb="FFC9553D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EEF6F5"/>
        <bgColor rgb="FFFFFFFF"/>
      </patternFill>
    </fill>
    <fill>
      <patternFill patternType="solid">
        <fgColor rgb="FF0B3C49"/>
        <bgColor rgb="FF333333"/>
      </patternFill>
    </fill>
    <fill>
      <patternFill patternType="solid">
        <fgColor rgb="FFFFF7CC"/>
        <bgColor rgb="FFEEF6F5"/>
      </patternFill>
    </fill>
    <fill>
      <patternFill patternType="solid">
        <fgColor rgb="FF028090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D4D2"/>
      </left>
      <right style="thin">
        <color rgb="FFBFD4D2"/>
      </right>
      <top style="thin">
        <color rgb="FFBFD4D2"/>
      </top>
      <bottom style="thin">
        <color rgb="FFBFD4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2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5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5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28090"/>
      <rgbColor rgb="FFBFD4D2"/>
      <rgbColor rgb="FF808080"/>
      <rgbColor rgb="FF9999FF"/>
      <rgbColor rgb="FF993366"/>
      <rgbColor rgb="FFFFF7CC"/>
      <rgbColor rgb="FFEEF6F5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9553D"/>
      <rgbColor rgb="FF44565C"/>
      <rgbColor rgb="FF969696"/>
      <rgbColor rgb="FF0B3C49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codil.or.kr/" TargetMode="External"/><Relationship Id="rId2" Type="http://schemas.openxmlformats.org/officeDocument/2006/relationships/hyperlink" Target="https://www.codil.or.kr/" TargetMode="External"/><Relationship Id="rId3" Type="http://schemas.openxmlformats.org/officeDocument/2006/relationships/hyperlink" Target="https://www.g2b.go.kr/" TargetMode="External"/><Relationship Id="rId4" Type="http://schemas.openxmlformats.org/officeDocument/2006/relationships/hyperlink" Target="https://cost.kict.re.kr/" TargetMode="External"/><Relationship Id="rId5" Type="http://schemas.openxmlformats.org/officeDocument/2006/relationships/hyperlink" Target="https://www.mois.go.kr/" TargetMode="External"/><Relationship Id="rId6" Type="http://schemas.openxmlformats.org/officeDocument/2006/relationships/hyperlink" Target="https://www.kpi.or.kr/" TargetMode="External"/><Relationship Id="rId7" Type="http://schemas.openxmlformats.org/officeDocument/2006/relationships/hyperlink" Target="https://www.kpi.or.kr/" TargetMode="External"/><Relationship Id="rId8" Type="http://schemas.openxmlformats.org/officeDocument/2006/relationships/hyperlink" Target="https://www.law.go.kr/" TargetMode="External"/><Relationship Id="rId9" Type="http://schemas.openxmlformats.org/officeDocument/2006/relationships/hyperlink" Target="https://www.law.go.kr/" TargetMode="External"/><Relationship Id="rId10" Type="http://schemas.openxmlformats.org/officeDocument/2006/relationships/hyperlink" Target="https://www.law.go.kr/" TargetMode="External"/><Relationship Id="rId11" Type="http://schemas.openxmlformats.org/officeDocument/2006/relationships/hyperlink" Target="https://www.g2b.go.kr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78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9.5" hidden="false" customHeight="true" outlineLevel="0" collapsed="false">
      <c r="B5" s="3" t="s">
        <v>2</v>
      </c>
      <c r="C5" s="4"/>
    </row>
    <row r="6" customFormat="false" ht="19.5" hidden="false" customHeight="true" outlineLevel="0" collapsed="false">
      <c r="B6" s="5" t="s">
        <v>3</v>
      </c>
      <c r="C6" s="6" t="s">
        <v>4</v>
      </c>
    </row>
    <row r="7" customFormat="false" ht="19.5" hidden="false" customHeight="true" outlineLevel="0" collapsed="false">
      <c r="B7" s="5" t="s">
        <v>5</v>
      </c>
      <c r="C7" s="7" t="s">
        <v>6</v>
      </c>
    </row>
    <row r="8" customFormat="false" ht="19.5" hidden="false" customHeight="true" outlineLevel="0" collapsed="false">
      <c r="B8" s="5" t="s">
        <v>7</v>
      </c>
      <c r="C8" s="7" t="s">
        <v>8</v>
      </c>
    </row>
    <row r="9" customFormat="false" ht="19.5" hidden="false" customHeight="true" outlineLevel="0" collapsed="false">
      <c r="B9" s="5" t="s">
        <v>9</v>
      </c>
      <c r="C9" s="7" t="s">
        <v>10</v>
      </c>
    </row>
    <row r="10" customFormat="false" ht="19.5" hidden="false" customHeight="true" outlineLevel="0" collapsed="false">
      <c r="B10" s="5" t="s">
        <v>11</v>
      </c>
      <c r="C10" s="7" t="s">
        <v>12</v>
      </c>
    </row>
    <row r="11" customFormat="false" ht="19.5" hidden="false" customHeight="true" outlineLevel="0" collapsed="false"/>
    <row r="12" customFormat="false" ht="19.5" hidden="false" customHeight="true" outlineLevel="0" collapsed="false">
      <c r="B12" s="3" t="s">
        <v>13</v>
      </c>
      <c r="C12" s="4"/>
    </row>
    <row r="13" customFormat="false" ht="19.5" hidden="false" customHeight="true" outlineLevel="0" collapsed="false">
      <c r="B13" s="8" t="s">
        <v>14</v>
      </c>
      <c r="C13" s="6" t="s">
        <v>15</v>
      </c>
    </row>
    <row r="14" customFormat="false" ht="19.5" hidden="false" customHeight="true" outlineLevel="0" collapsed="false">
      <c r="B14" s="8" t="s">
        <v>16</v>
      </c>
      <c r="C14" s="6" t="s">
        <v>17</v>
      </c>
    </row>
    <row r="15" customFormat="false" ht="19.5" hidden="false" customHeight="true" outlineLevel="0" collapsed="false"/>
    <row r="16" customFormat="false" ht="19.5" hidden="false" customHeight="true" outlineLevel="0" collapsed="false">
      <c r="B16" s="3" t="s">
        <v>18</v>
      </c>
      <c r="C16" s="4"/>
    </row>
    <row r="17" customFormat="false" ht="19.5" hidden="false" customHeight="true" outlineLevel="0" collapsed="false">
      <c r="B17" s="8" t="s">
        <v>19</v>
      </c>
      <c r="C17" s="6" t="s">
        <v>20</v>
      </c>
    </row>
    <row r="18" customFormat="false" ht="19.5" hidden="false" customHeight="true" outlineLevel="0" collapsed="false">
      <c r="B18" s="8" t="s">
        <v>21</v>
      </c>
      <c r="C18" s="6" t="s">
        <v>22</v>
      </c>
    </row>
    <row r="19" customFormat="false" ht="19.5" hidden="false" customHeight="true" outlineLevel="0" collapsed="false">
      <c r="B19" s="8" t="s">
        <v>23</v>
      </c>
      <c r="C19" s="6" t="s">
        <v>24</v>
      </c>
    </row>
    <row r="20" customFormat="false" ht="19.5" hidden="false" customHeight="true" outlineLevel="0" collapsed="false">
      <c r="B20" s="8" t="s">
        <v>25</v>
      </c>
      <c r="C20" s="6" t="s">
        <v>26</v>
      </c>
    </row>
    <row r="21" customFormat="false" ht="19.5" hidden="false" customHeight="true" outlineLevel="0" collapsed="false">
      <c r="B21" s="8" t="s">
        <v>27</v>
      </c>
      <c r="C21" s="6" t="s">
        <v>28</v>
      </c>
    </row>
    <row r="22" customFormat="false" ht="19.5" hidden="false" customHeight="true" outlineLevel="0" collapsed="false"/>
    <row r="23" customFormat="false" ht="19.5" hidden="false" customHeight="true" outlineLevel="0" collapsed="false">
      <c r="B23" s="3" t="s">
        <v>29</v>
      </c>
      <c r="C23" s="4"/>
    </row>
    <row r="24" customFormat="false" ht="19.5" hidden="false" customHeight="true" outlineLevel="0" collapsed="false">
      <c r="B24" s="5" t="s">
        <v>3</v>
      </c>
      <c r="C24" s="7" t="s">
        <v>30</v>
      </c>
    </row>
    <row r="25" customFormat="false" ht="19.5" hidden="false" customHeight="true" outlineLevel="0" collapsed="false">
      <c r="B25" s="5" t="s">
        <v>5</v>
      </c>
      <c r="C25" s="6" t="s">
        <v>31</v>
      </c>
    </row>
    <row r="26" customFormat="false" ht="19.5" hidden="false" customHeight="true" outlineLevel="0" collapsed="false">
      <c r="B26" s="5" t="s">
        <v>7</v>
      </c>
      <c r="C26" s="6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6" min="5" style="0" width="8"/>
    <col collapsed="false" customWidth="true" hidden="false" outlineLevel="0" max="8" min="7" style="0" width="14"/>
    <col collapsed="false" customWidth="true" hidden="false" outlineLevel="0" max="9" min="9" style="0" width="20"/>
  </cols>
  <sheetData>
    <row r="1" customFormat="false" ht="21.6" hidden="false" customHeight="false" outlineLevel="0" collapsed="false">
      <c r="A1" s="9" t="s">
        <v>33</v>
      </c>
    </row>
    <row r="2" customFormat="false" ht="15" hidden="false" customHeight="false" outlineLevel="0" collapsed="false">
      <c r="A2" s="10" t="s">
        <v>34</v>
      </c>
    </row>
    <row r="3" customFormat="false" ht="30" hidden="false" customHeight="true" outlineLevel="0" collapsed="false">
      <c r="A3" s="11" t="s">
        <v>35</v>
      </c>
      <c r="B3" s="11" t="s">
        <v>36</v>
      </c>
      <c r="C3" s="11" t="s">
        <v>37</v>
      </c>
      <c r="D3" s="11" t="s">
        <v>38</v>
      </c>
      <c r="E3" s="11" t="s">
        <v>39</v>
      </c>
      <c r="F3" s="11" t="s">
        <v>40</v>
      </c>
      <c r="G3" s="11" t="s">
        <v>41</v>
      </c>
      <c r="H3" s="11" t="s">
        <v>42</v>
      </c>
      <c r="I3" s="11" t="s">
        <v>43</v>
      </c>
    </row>
    <row r="4" customFormat="false" ht="18" hidden="false" customHeight="true" outlineLevel="0" collapsed="false">
      <c r="A4" s="12" t="s">
        <v>44</v>
      </c>
      <c r="B4" s="13" t="s">
        <v>45</v>
      </c>
      <c r="C4" s="14" t="s">
        <v>46</v>
      </c>
      <c r="D4" s="15" t="n">
        <v>250000</v>
      </c>
      <c r="E4" s="16" t="n">
        <v>2</v>
      </c>
      <c r="F4" s="16" t="n">
        <v>20</v>
      </c>
      <c r="G4" s="17" t="n">
        <f aca="false">IF(COUNT(D4:F4)=3,D4*E4*F4,"")</f>
        <v>10000000</v>
      </c>
      <c r="H4" s="12" t="s">
        <v>47</v>
      </c>
      <c r="I4" s="13" t="s">
        <v>48</v>
      </c>
    </row>
    <row r="5" customFormat="false" ht="18" hidden="false" customHeight="true" outlineLevel="0" collapsed="false">
      <c r="A5" s="12" t="s">
        <v>49</v>
      </c>
      <c r="B5" s="13" t="s">
        <v>50</v>
      </c>
      <c r="C5" s="14" t="s">
        <v>51</v>
      </c>
      <c r="D5" s="15" t="n">
        <v>2000000</v>
      </c>
      <c r="E5" s="16" t="n">
        <v>1</v>
      </c>
      <c r="F5" s="16" t="n">
        <v>2</v>
      </c>
      <c r="G5" s="17" t="n">
        <f aca="false">IF(COUNT(D5:F5)=3,D5*E5*F5,"")</f>
        <v>4000000</v>
      </c>
      <c r="H5" s="12" t="s">
        <v>47</v>
      </c>
      <c r="I5" s="14" t="s">
        <v>52</v>
      </c>
    </row>
    <row r="6" customFormat="false" ht="18" hidden="false" customHeight="true" outlineLevel="0" collapsed="false">
      <c r="A6" s="12" t="s">
        <v>53</v>
      </c>
      <c r="B6" s="13" t="s">
        <v>54</v>
      </c>
      <c r="C6" s="14" t="s">
        <v>55</v>
      </c>
      <c r="D6" s="15" t="n">
        <v>15000</v>
      </c>
      <c r="E6" s="16" t="n">
        <v>300</v>
      </c>
      <c r="F6" s="16" t="n">
        <v>4</v>
      </c>
      <c r="G6" s="17" t="n">
        <f aca="false">IF(COUNT(D6:F6)=3,D6*E6*F6,"")</f>
        <v>18000000</v>
      </c>
      <c r="H6" s="12" t="s">
        <v>47</v>
      </c>
      <c r="I6" s="13" t="s">
        <v>56</v>
      </c>
    </row>
    <row r="7" customFormat="false" ht="18" hidden="false" customHeight="true" outlineLevel="0" collapsed="false">
      <c r="A7" s="12" t="s">
        <v>57</v>
      </c>
      <c r="B7" s="13" t="s">
        <v>58</v>
      </c>
      <c r="C7" s="14" t="s">
        <v>59</v>
      </c>
      <c r="D7" s="15" t="n">
        <v>5000000</v>
      </c>
      <c r="E7" s="16" t="n">
        <v>1</v>
      </c>
      <c r="F7" s="16" t="n">
        <v>1</v>
      </c>
      <c r="G7" s="17" t="n">
        <f aca="false">IF(COUNT(D7:F7)=3,D7*E7*F7,"")</f>
        <v>5000000</v>
      </c>
      <c r="H7" s="12" t="s">
        <v>47</v>
      </c>
      <c r="I7" s="13" t="s">
        <v>60</v>
      </c>
    </row>
    <row r="8" customFormat="false" ht="18" hidden="false" customHeight="true" outlineLevel="0" collapsed="false">
      <c r="A8" s="12" t="s">
        <v>61</v>
      </c>
      <c r="B8" s="13" t="s">
        <v>62</v>
      </c>
      <c r="C8" s="14" t="s">
        <v>63</v>
      </c>
      <c r="D8" s="15" t="n">
        <v>2000000</v>
      </c>
      <c r="E8" s="16" t="n">
        <v>1</v>
      </c>
      <c r="F8" s="16" t="n">
        <v>1</v>
      </c>
      <c r="G8" s="17" t="n">
        <f aca="false">IF(COUNT(D8:F8)=3,D8*E8*F8,"")</f>
        <v>2000000</v>
      </c>
      <c r="H8" s="12" t="s">
        <v>47</v>
      </c>
      <c r="I8" s="13" t="s">
        <v>64</v>
      </c>
    </row>
    <row r="9" customFormat="false" ht="18" hidden="false" customHeight="true" outlineLevel="0" collapsed="false">
      <c r="A9" s="12" t="s">
        <v>61</v>
      </c>
      <c r="B9" s="13" t="s">
        <v>65</v>
      </c>
      <c r="C9" s="14" t="s">
        <v>66</v>
      </c>
      <c r="D9" s="15" t="n">
        <v>2000</v>
      </c>
      <c r="E9" s="16" t="n">
        <v>500</v>
      </c>
      <c r="F9" s="16" t="n">
        <v>1</v>
      </c>
      <c r="G9" s="17" t="n">
        <f aca="false">IF(COUNT(D9:F9)=3,D9*E9*F9,"")</f>
        <v>1000000</v>
      </c>
      <c r="H9" s="12" t="s">
        <v>67</v>
      </c>
      <c r="I9" s="13" t="s">
        <v>68</v>
      </c>
    </row>
    <row r="10" customFormat="false" ht="18" hidden="false" customHeight="true" outlineLevel="0" collapsed="false">
      <c r="A10" s="12" t="s">
        <v>69</v>
      </c>
      <c r="B10" s="13" t="s">
        <v>70</v>
      </c>
      <c r="C10" s="14" t="s">
        <v>71</v>
      </c>
      <c r="D10" s="15" t="n">
        <v>100000</v>
      </c>
      <c r="E10" s="16" t="n">
        <v>2</v>
      </c>
      <c r="F10" s="16" t="n">
        <v>15</v>
      </c>
      <c r="G10" s="17" t="n">
        <f aca="false">IF(COUNT(D10:F10)=3,D10*E10*F10,"")</f>
        <v>3000000</v>
      </c>
      <c r="H10" s="12" t="s">
        <v>47</v>
      </c>
      <c r="I10" s="13" t="s">
        <v>72</v>
      </c>
    </row>
    <row r="11" customFormat="false" ht="18" hidden="false" customHeight="true" outlineLevel="0" collapsed="false">
      <c r="A11" s="12" t="s">
        <v>73</v>
      </c>
      <c r="B11" s="13" t="s">
        <v>74</v>
      </c>
      <c r="C11" s="14" t="s">
        <v>75</v>
      </c>
      <c r="D11" s="15" t="n">
        <v>100000</v>
      </c>
      <c r="E11" s="16" t="n">
        <v>1</v>
      </c>
      <c r="F11" s="16" t="n">
        <v>40</v>
      </c>
      <c r="G11" s="17" t="n">
        <f aca="false">IF(COUNT(D11:F11)=3,D11*E11*F11,"")</f>
        <v>4000000</v>
      </c>
      <c r="H11" s="12" t="s">
        <v>76</v>
      </c>
      <c r="I11" s="13" t="s">
        <v>77</v>
      </c>
    </row>
    <row r="12" customFormat="false" ht="18" hidden="false" customHeight="true" outlineLevel="0" collapsed="false">
      <c r="A12" s="12" t="s">
        <v>78</v>
      </c>
      <c r="B12" s="13" t="s">
        <v>79</v>
      </c>
      <c r="C12" s="14" t="s">
        <v>80</v>
      </c>
      <c r="D12" s="15" t="n">
        <v>1000000</v>
      </c>
      <c r="E12" s="16" t="n">
        <v>1</v>
      </c>
      <c r="F12" s="16" t="n">
        <v>1</v>
      </c>
      <c r="G12" s="17" t="n">
        <f aca="false">IF(COUNT(D12:F12)=3,D12*E12*F12,"")</f>
        <v>1000000</v>
      </c>
      <c r="H12" s="12" t="s">
        <v>47</v>
      </c>
      <c r="I12" s="13" t="s">
        <v>81</v>
      </c>
    </row>
    <row r="13" customFormat="false" ht="18" hidden="false" customHeight="true" outlineLevel="0" collapsed="false">
      <c r="A13" s="12" t="s">
        <v>82</v>
      </c>
      <c r="B13" s="13" t="s">
        <v>83</v>
      </c>
      <c r="C13" s="14" t="s">
        <v>63</v>
      </c>
      <c r="D13" s="15" t="n">
        <v>2000000</v>
      </c>
      <c r="E13" s="16" t="n">
        <v>1</v>
      </c>
      <c r="F13" s="16" t="n">
        <v>1</v>
      </c>
      <c r="G13" s="17" t="n">
        <f aca="false">IF(COUNT(D13:F13)=3,D13*E13*F13,"")</f>
        <v>2000000</v>
      </c>
      <c r="H13" s="12" t="s">
        <v>47</v>
      </c>
      <c r="I13" s="13" t="s">
        <v>84</v>
      </c>
    </row>
    <row r="14" customFormat="false" ht="18" hidden="false" customHeight="true" outlineLevel="0" collapsed="false">
      <c r="A14" s="12"/>
      <c r="B14" s="13"/>
      <c r="C14" s="13"/>
      <c r="D14" s="15"/>
      <c r="E14" s="16"/>
      <c r="F14" s="16"/>
      <c r="G14" s="17" t="str">
        <f aca="false">IF(COUNT(D14:F14)=3,D14*E14*F14,"")</f>
        <v/>
      </c>
      <c r="H14" s="12"/>
      <c r="I14" s="13"/>
    </row>
    <row r="15" customFormat="false" ht="18" hidden="false" customHeight="true" outlineLevel="0" collapsed="false">
      <c r="A15" s="12"/>
      <c r="B15" s="13"/>
      <c r="C15" s="13"/>
      <c r="D15" s="15"/>
      <c r="E15" s="16"/>
      <c r="F15" s="16"/>
      <c r="G15" s="17" t="str">
        <f aca="false">IF(COUNT(D15:F15)=3,D15*E15*F15,"")</f>
        <v/>
      </c>
      <c r="H15" s="12"/>
      <c r="I15" s="13"/>
    </row>
    <row r="16" customFormat="false" ht="18" hidden="false" customHeight="true" outlineLevel="0" collapsed="false">
      <c r="A16" s="12"/>
      <c r="B16" s="13"/>
      <c r="C16" s="13"/>
      <c r="D16" s="15"/>
      <c r="E16" s="16"/>
      <c r="F16" s="16"/>
      <c r="G16" s="17" t="str">
        <f aca="false">IF(COUNT(D16:F16)=3,D16*E16*F16,"")</f>
        <v/>
      </c>
      <c r="H16" s="12"/>
      <c r="I16" s="13"/>
    </row>
    <row r="17" customFormat="false" ht="18" hidden="false" customHeight="true" outlineLevel="0" collapsed="false">
      <c r="A17" s="12"/>
      <c r="B17" s="13"/>
      <c r="C17" s="13"/>
      <c r="D17" s="15"/>
      <c r="E17" s="16"/>
      <c r="F17" s="16"/>
      <c r="G17" s="17" t="str">
        <f aca="false">IF(COUNT(D17:F17)=3,D17*E17*F17,"")</f>
        <v/>
      </c>
      <c r="H17" s="12"/>
      <c r="I17" s="13"/>
    </row>
    <row r="18" customFormat="false" ht="18" hidden="false" customHeight="true" outlineLevel="0" collapsed="false">
      <c r="A18" s="12"/>
      <c r="B18" s="13"/>
      <c r="C18" s="13"/>
      <c r="D18" s="15"/>
      <c r="E18" s="16"/>
      <c r="F18" s="16"/>
      <c r="G18" s="17" t="str">
        <f aca="false">IF(COUNT(D18:F18)=3,D18*E18*F18,"")</f>
        <v/>
      </c>
      <c r="H18" s="12"/>
      <c r="I18" s="13"/>
    </row>
    <row r="19" customFormat="false" ht="18" hidden="false" customHeight="true" outlineLevel="0" collapsed="false">
      <c r="A19" s="12"/>
      <c r="B19" s="13"/>
      <c r="C19" s="13"/>
      <c r="D19" s="15"/>
      <c r="E19" s="16"/>
      <c r="F19" s="16"/>
      <c r="G19" s="17" t="str">
        <f aca="false">IF(COUNT(D19:F19)=3,D19*E19*F19,"")</f>
        <v/>
      </c>
      <c r="H19" s="12"/>
      <c r="I19" s="13"/>
    </row>
    <row r="20" customFormat="false" ht="18" hidden="false" customHeight="true" outlineLevel="0" collapsed="false">
      <c r="A20" s="12"/>
      <c r="B20" s="13"/>
      <c r="C20" s="13"/>
      <c r="D20" s="15"/>
      <c r="E20" s="16"/>
      <c r="F20" s="16"/>
      <c r="G20" s="17" t="str">
        <f aca="false">IF(COUNT(D20:F20)=3,D20*E20*F20,"")</f>
        <v/>
      </c>
      <c r="H20" s="12"/>
      <c r="I20" s="13"/>
    </row>
    <row r="21" customFormat="false" ht="18" hidden="false" customHeight="true" outlineLevel="0" collapsed="false">
      <c r="A21" s="12"/>
      <c r="B21" s="13"/>
      <c r="C21" s="13"/>
      <c r="D21" s="15"/>
      <c r="E21" s="16"/>
      <c r="F21" s="16"/>
      <c r="G21" s="17" t="str">
        <f aca="false">IF(COUNT(D21:F21)=3,D21*E21*F21,"")</f>
        <v/>
      </c>
      <c r="H21" s="12"/>
      <c r="I21" s="13"/>
    </row>
    <row r="22" customFormat="false" ht="18" hidden="false" customHeight="true" outlineLevel="0" collapsed="false">
      <c r="A22" s="12"/>
      <c r="B22" s="13"/>
      <c r="C22" s="13"/>
      <c r="D22" s="15"/>
      <c r="E22" s="16"/>
      <c r="F22" s="16"/>
      <c r="G22" s="17" t="str">
        <f aca="false">IF(COUNT(D22:F22)=3,D22*E22*F22,"")</f>
        <v/>
      </c>
      <c r="H22" s="12"/>
      <c r="I22" s="13"/>
    </row>
    <row r="23" customFormat="false" ht="18" hidden="false" customHeight="true" outlineLevel="0" collapsed="false">
      <c r="A23" s="12"/>
      <c r="B23" s="13"/>
      <c r="C23" s="13"/>
      <c r="D23" s="15"/>
      <c r="E23" s="16"/>
      <c r="F23" s="16"/>
      <c r="G23" s="17" t="str">
        <f aca="false">IF(COUNT(D23:F23)=3,D23*E23*F23,"")</f>
        <v/>
      </c>
      <c r="H23" s="12"/>
      <c r="I23" s="13"/>
    </row>
    <row r="24" customFormat="false" ht="18" hidden="false" customHeight="true" outlineLevel="0" collapsed="false">
      <c r="A24" s="12"/>
      <c r="B24" s="13"/>
      <c r="C24" s="13"/>
      <c r="D24" s="15"/>
      <c r="E24" s="16"/>
      <c r="F24" s="16"/>
      <c r="G24" s="17" t="str">
        <f aca="false">IF(COUNT(D24:F24)=3,D24*E24*F24,"")</f>
        <v/>
      </c>
      <c r="H24" s="12"/>
      <c r="I24" s="13"/>
    </row>
    <row r="25" customFormat="false" ht="18" hidden="false" customHeight="true" outlineLevel="0" collapsed="false">
      <c r="A25" s="12"/>
      <c r="B25" s="13"/>
      <c r="C25" s="13"/>
      <c r="D25" s="15"/>
      <c r="E25" s="16"/>
      <c r="F25" s="16"/>
      <c r="G25" s="17" t="str">
        <f aca="false">IF(COUNT(D25:F25)=3,D25*E25*F25,"")</f>
        <v/>
      </c>
      <c r="H25" s="12"/>
      <c r="I25" s="13"/>
    </row>
    <row r="26" customFormat="false" ht="18" hidden="false" customHeight="true" outlineLevel="0" collapsed="false">
      <c r="A26" s="12"/>
      <c r="B26" s="13"/>
      <c r="C26" s="13"/>
      <c r="D26" s="15"/>
      <c r="E26" s="16"/>
      <c r="F26" s="16"/>
      <c r="G26" s="17" t="str">
        <f aca="false">IF(COUNT(D26:F26)=3,D26*E26*F26,"")</f>
        <v/>
      </c>
      <c r="H26" s="12"/>
      <c r="I26" s="13"/>
    </row>
    <row r="27" customFormat="false" ht="18" hidden="false" customHeight="true" outlineLevel="0" collapsed="false">
      <c r="A27" s="12"/>
      <c r="B27" s="13"/>
      <c r="C27" s="13"/>
      <c r="D27" s="15"/>
      <c r="E27" s="16"/>
      <c r="F27" s="16"/>
      <c r="G27" s="17" t="str">
        <f aca="false">IF(COUNT(D27:F27)=3,D27*E27*F27,"")</f>
        <v/>
      </c>
      <c r="H27" s="12"/>
      <c r="I27" s="13"/>
    </row>
    <row r="28" customFormat="false" ht="18" hidden="false" customHeight="true" outlineLevel="0" collapsed="false">
      <c r="A28" s="12"/>
      <c r="B28" s="13"/>
      <c r="C28" s="13"/>
      <c r="D28" s="15"/>
      <c r="E28" s="16"/>
      <c r="F28" s="16"/>
      <c r="G28" s="17" t="str">
        <f aca="false">IF(COUNT(D28:F28)=3,D28*E28*F28,"")</f>
        <v/>
      </c>
      <c r="H28" s="12"/>
      <c r="I28" s="13"/>
    </row>
    <row r="29" customFormat="false" ht="18" hidden="false" customHeight="true" outlineLevel="0" collapsed="false">
      <c r="A29" s="12"/>
      <c r="B29" s="13"/>
      <c r="C29" s="13"/>
      <c r="D29" s="15"/>
      <c r="E29" s="16"/>
      <c r="F29" s="16"/>
      <c r="G29" s="17" t="str">
        <f aca="false">IF(COUNT(D29:F29)=3,D29*E29*F29,"")</f>
        <v/>
      </c>
      <c r="H29" s="12"/>
      <c r="I29" s="13"/>
    </row>
    <row r="30" customFormat="false" ht="18" hidden="false" customHeight="true" outlineLevel="0" collapsed="false">
      <c r="A30" s="12"/>
      <c r="B30" s="13"/>
      <c r="C30" s="13"/>
      <c r="D30" s="15"/>
      <c r="E30" s="16"/>
      <c r="F30" s="16"/>
      <c r="G30" s="17" t="str">
        <f aca="false">IF(COUNT(D30:F30)=3,D30*E30*F30,"")</f>
        <v/>
      </c>
      <c r="H30" s="12"/>
      <c r="I30" s="13"/>
    </row>
    <row r="31" customFormat="false" ht="18" hidden="false" customHeight="true" outlineLevel="0" collapsed="false">
      <c r="A31" s="12"/>
      <c r="B31" s="13"/>
      <c r="C31" s="13"/>
      <c r="D31" s="15"/>
      <c r="E31" s="16"/>
      <c r="F31" s="16"/>
      <c r="G31" s="17" t="str">
        <f aca="false">IF(COUNT(D31:F31)=3,D31*E31*F31,"")</f>
        <v/>
      </c>
      <c r="H31" s="12"/>
      <c r="I31" s="13"/>
    </row>
    <row r="32" customFormat="false" ht="18" hidden="false" customHeight="true" outlineLevel="0" collapsed="false">
      <c r="A32" s="12"/>
      <c r="B32" s="13"/>
      <c r="C32" s="13"/>
      <c r="D32" s="15"/>
      <c r="E32" s="16"/>
      <c r="F32" s="16"/>
      <c r="G32" s="17" t="str">
        <f aca="false">IF(COUNT(D32:F32)=3,D32*E32*F32,"")</f>
        <v/>
      </c>
      <c r="H32" s="12"/>
      <c r="I32" s="13"/>
    </row>
    <row r="33" customFormat="false" ht="18" hidden="false" customHeight="true" outlineLevel="0" collapsed="false">
      <c r="A33" s="12"/>
      <c r="B33" s="13"/>
      <c r="C33" s="13"/>
      <c r="D33" s="15"/>
      <c r="E33" s="16"/>
      <c r="F33" s="16"/>
      <c r="G33" s="17" t="str">
        <f aca="false">IF(COUNT(D33:F33)=3,D33*E33*F33,"")</f>
        <v/>
      </c>
      <c r="H33" s="12"/>
      <c r="I33" s="13"/>
    </row>
    <row r="34" customFormat="false" ht="18" hidden="false" customHeight="true" outlineLevel="0" collapsed="false">
      <c r="A34" s="12"/>
      <c r="B34" s="13"/>
      <c r="C34" s="13"/>
      <c r="D34" s="15"/>
      <c r="E34" s="16"/>
      <c r="F34" s="16"/>
      <c r="G34" s="17" t="str">
        <f aca="false">IF(COUNT(D34:F34)=3,D34*E34*F34,"")</f>
        <v/>
      </c>
      <c r="H34" s="12"/>
      <c r="I34" s="13"/>
    </row>
    <row r="35" customFormat="false" ht="18" hidden="false" customHeight="true" outlineLevel="0" collapsed="false">
      <c r="A35" s="12"/>
      <c r="B35" s="13"/>
      <c r="C35" s="13"/>
      <c r="D35" s="15"/>
      <c r="E35" s="16"/>
      <c r="F35" s="16"/>
      <c r="G35" s="17" t="str">
        <f aca="false">IF(COUNT(D35:F35)=3,D35*E35*F35,"")</f>
        <v/>
      </c>
      <c r="H35" s="12"/>
      <c r="I35" s="13"/>
    </row>
    <row r="36" customFormat="false" ht="18" hidden="false" customHeight="true" outlineLevel="0" collapsed="false">
      <c r="A36" s="12"/>
      <c r="B36" s="13"/>
      <c r="C36" s="13"/>
      <c r="D36" s="15"/>
      <c r="E36" s="16"/>
      <c r="F36" s="16"/>
      <c r="G36" s="17" t="str">
        <f aca="false">IF(COUNT(D36:F36)=3,D36*E36*F36,"")</f>
        <v/>
      </c>
      <c r="H36" s="12"/>
      <c r="I36" s="13"/>
    </row>
    <row r="37" customFormat="false" ht="18" hidden="false" customHeight="true" outlineLevel="0" collapsed="false">
      <c r="A37" s="12"/>
      <c r="B37" s="13"/>
      <c r="C37" s="13"/>
      <c r="D37" s="15"/>
      <c r="E37" s="16"/>
      <c r="F37" s="16"/>
      <c r="G37" s="17" t="str">
        <f aca="false">IF(COUNT(D37:F37)=3,D37*E37*F37,"")</f>
        <v/>
      </c>
      <c r="H37" s="12"/>
      <c r="I37" s="13"/>
    </row>
    <row r="38" customFormat="false" ht="18" hidden="false" customHeight="true" outlineLevel="0" collapsed="false">
      <c r="A38" s="12"/>
      <c r="B38" s="13"/>
      <c r="C38" s="13"/>
      <c r="D38" s="15"/>
      <c r="E38" s="16"/>
      <c r="F38" s="16"/>
      <c r="G38" s="17" t="str">
        <f aca="false">IF(COUNT(D38:F38)=3,D38*E38*F38,"")</f>
        <v/>
      </c>
      <c r="H38" s="12"/>
      <c r="I38" s="13"/>
    </row>
    <row r="39" customFormat="false" ht="18" hidden="false" customHeight="true" outlineLevel="0" collapsed="false">
      <c r="A39" s="12"/>
      <c r="B39" s="13"/>
      <c r="C39" s="13"/>
      <c r="D39" s="15"/>
      <c r="E39" s="16"/>
      <c r="F39" s="16"/>
      <c r="G39" s="17" t="str">
        <f aca="false">IF(COUNT(D39:F39)=3,D39*E39*F39,"")</f>
        <v/>
      </c>
      <c r="H39" s="12"/>
      <c r="I39" s="13"/>
    </row>
    <row r="40" customFormat="false" ht="18" hidden="false" customHeight="true" outlineLevel="0" collapsed="false">
      <c r="A40" s="12"/>
      <c r="B40" s="13"/>
      <c r="C40" s="13"/>
      <c r="D40" s="15"/>
      <c r="E40" s="16"/>
      <c r="F40" s="16"/>
      <c r="G40" s="17" t="str">
        <f aca="false">IF(COUNT(D40:F40)=3,D40*E40*F40,"")</f>
        <v/>
      </c>
      <c r="H40" s="12"/>
      <c r="I40" s="13"/>
    </row>
    <row r="41" customFormat="false" ht="18" hidden="false" customHeight="true" outlineLevel="0" collapsed="false">
      <c r="A41" s="12"/>
      <c r="B41" s="13"/>
      <c r="C41" s="13"/>
      <c r="D41" s="15"/>
      <c r="E41" s="16"/>
      <c r="F41" s="16"/>
      <c r="G41" s="17" t="str">
        <f aca="false">IF(COUNT(D41:F41)=3,D41*E41*F41,"")</f>
        <v/>
      </c>
      <c r="H41" s="12"/>
      <c r="I41" s="13"/>
    </row>
    <row r="42" customFormat="false" ht="18" hidden="false" customHeight="true" outlineLevel="0" collapsed="false">
      <c r="A42" s="12"/>
      <c r="B42" s="13"/>
      <c r="C42" s="13"/>
      <c r="D42" s="15"/>
      <c r="E42" s="16"/>
      <c r="F42" s="16"/>
      <c r="G42" s="17" t="str">
        <f aca="false">IF(COUNT(D42:F42)=3,D42*E42*F42,"")</f>
        <v/>
      </c>
      <c r="H42" s="12"/>
      <c r="I42" s="13"/>
    </row>
    <row r="43" customFormat="false" ht="18" hidden="false" customHeight="true" outlineLevel="0" collapsed="false">
      <c r="A43" s="12"/>
      <c r="B43" s="13"/>
      <c r="C43" s="13"/>
      <c r="D43" s="15"/>
      <c r="E43" s="16"/>
      <c r="F43" s="16"/>
      <c r="G43" s="17" t="str">
        <f aca="false">IF(COUNT(D43:F43)=3,D43*E43*F43,"")</f>
        <v/>
      </c>
      <c r="H43" s="12"/>
      <c r="I43" s="13"/>
    </row>
    <row r="44" customFormat="false" ht="18" hidden="false" customHeight="true" outlineLevel="0" collapsed="false">
      <c r="A44" s="12"/>
      <c r="B44" s="13"/>
      <c r="C44" s="13"/>
      <c r="D44" s="15"/>
      <c r="E44" s="16"/>
      <c r="F44" s="16"/>
      <c r="G44" s="17" t="str">
        <f aca="false">IF(COUNT(D44:F44)=3,D44*E44*F44,"")</f>
        <v/>
      </c>
      <c r="H44" s="12"/>
      <c r="I44" s="13"/>
    </row>
    <row r="45" customFormat="false" ht="18" hidden="false" customHeight="true" outlineLevel="0" collapsed="false">
      <c r="A45" s="12"/>
      <c r="B45" s="13"/>
      <c r="C45" s="13"/>
      <c r="D45" s="15"/>
      <c r="E45" s="16"/>
      <c r="F45" s="16"/>
      <c r="G45" s="17" t="str">
        <f aca="false">IF(COUNT(D45:F45)=3,D45*E45*F45,"")</f>
        <v/>
      </c>
      <c r="H45" s="12"/>
      <c r="I45" s="13"/>
    </row>
    <row r="46" customFormat="false" ht="18" hidden="false" customHeight="true" outlineLevel="0" collapsed="false">
      <c r="A46" s="12"/>
      <c r="B46" s="13"/>
      <c r="C46" s="13"/>
      <c r="D46" s="15"/>
      <c r="E46" s="16"/>
      <c r="F46" s="16"/>
      <c r="G46" s="17" t="str">
        <f aca="false">IF(COUNT(D46:F46)=3,D46*E46*F46,"")</f>
        <v/>
      </c>
      <c r="H46" s="12"/>
      <c r="I46" s="13"/>
    </row>
    <row r="47" customFormat="false" ht="18" hidden="false" customHeight="true" outlineLevel="0" collapsed="false">
      <c r="A47" s="12"/>
      <c r="B47" s="13"/>
      <c r="C47" s="13"/>
      <c r="D47" s="15"/>
      <c r="E47" s="16"/>
      <c r="F47" s="16"/>
      <c r="G47" s="17" t="str">
        <f aca="false">IF(COUNT(D47:F47)=3,D47*E47*F47,"")</f>
        <v/>
      </c>
      <c r="H47" s="12"/>
      <c r="I47" s="13"/>
    </row>
    <row r="48" customFormat="false" ht="18" hidden="false" customHeight="true" outlineLevel="0" collapsed="false">
      <c r="A48" s="12"/>
      <c r="B48" s="13"/>
      <c r="C48" s="13"/>
      <c r="D48" s="15"/>
      <c r="E48" s="16"/>
      <c r="F48" s="16"/>
      <c r="G48" s="17" t="str">
        <f aca="false">IF(COUNT(D48:F48)=3,D48*E48*F48,"")</f>
        <v/>
      </c>
      <c r="H48" s="12"/>
      <c r="I48" s="13"/>
    </row>
    <row r="49" customFormat="false" ht="18" hidden="false" customHeight="true" outlineLevel="0" collapsed="false">
      <c r="A49" s="12"/>
      <c r="B49" s="13"/>
      <c r="C49" s="13"/>
      <c r="D49" s="15"/>
      <c r="E49" s="16"/>
      <c r="F49" s="16"/>
      <c r="G49" s="17" t="str">
        <f aca="false">IF(COUNT(D49:F49)=3,D49*E49*F49,"")</f>
        <v/>
      </c>
      <c r="H49" s="12"/>
      <c r="I49" s="13"/>
    </row>
    <row r="50" customFormat="false" ht="18" hidden="false" customHeight="true" outlineLevel="0" collapsed="false">
      <c r="A50" s="12"/>
      <c r="B50" s="13"/>
      <c r="C50" s="13"/>
      <c r="D50" s="15"/>
      <c r="E50" s="16"/>
      <c r="F50" s="16"/>
      <c r="G50" s="17" t="str">
        <f aca="false">IF(COUNT(D50:F50)=3,D50*E50*F50,"")</f>
        <v/>
      </c>
      <c r="H50" s="12"/>
      <c r="I50" s="13"/>
    </row>
    <row r="51" customFormat="false" ht="18" hidden="false" customHeight="true" outlineLevel="0" collapsed="false">
      <c r="A51" s="12"/>
      <c r="B51" s="13"/>
      <c r="C51" s="13"/>
      <c r="D51" s="15"/>
      <c r="E51" s="16"/>
      <c r="F51" s="16"/>
      <c r="G51" s="17" t="str">
        <f aca="false">IF(COUNT(D51:F51)=3,D51*E51*F51,"")</f>
        <v/>
      </c>
      <c r="H51" s="12"/>
      <c r="I51" s="13"/>
    </row>
    <row r="52" customFormat="false" ht="18" hidden="false" customHeight="true" outlineLevel="0" collapsed="false">
      <c r="A52" s="12"/>
      <c r="B52" s="13"/>
      <c r="C52" s="13"/>
      <c r="D52" s="15"/>
      <c r="E52" s="16"/>
      <c r="F52" s="16"/>
      <c r="G52" s="17" t="str">
        <f aca="false">IF(COUNT(D52:F52)=3,D52*E52*F52,"")</f>
        <v/>
      </c>
      <c r="H52" s="12"/>
      <c r="I52" s="13"/>
    </row>
    <row r="53" customFormat="false" ht="18" hidden="false" customHeight="true" outlineLevel="0" collapsed="false">
      <c r="A53" s="12"/>
      <c r="B53" s="13"/>
      <c r="C53" s="13"/>
      <c r="D53" s="15"/>
      <c r="E53" s="16"/>
      <c r="F53" s="16"/>
      <c r="G53" s="17" t="str">
        <f aca="false">IF(COUNT(D53:F53)=3,D53*E53*F53,"")</f>
        <v/>
      </c>
      <c r="H53" s="12"/>
      <c r="I53" s="13"/>
    </row>
    <row r="54" customFormat="false" ht="18" hidden="false" customHeight="true" outlineLevel="0" collapsed="false">
      <c r="A54" s="12"/>
      <c r="B54" s="13"/>
      <c r="C54" s="13"/>
      <c r="D54" s="15"/>
      <c r="E54" s="16"/>
      <c r="F54" s="16"/>
      <c r="G54" s="17" t="str">
        <f aca="false">IF(COUNT(D54:F54)=3,D54*E54*F54,"")</f>
        <v/>
      </c>
      <c r="H54" s="12"/>
      <c r="I54" s="13"/>
    </row>
    <row r="55" customFormat="false" ht="18" hidden="false" customHeight="true" outlineLevel="0" collapsed="false">
      <c r="A55" s="12"/>
      <c r="B55" s="13"/>
      <c r="C55" s="13"/>
      <c r="D55" s="15"/>
      <c r="E55" s="16"/>
      <c r="F55" s="16"/>
      <c r="G55" s="17" t="str">
        <f aca="false">IF(COUNT(D55:F55)=3,D55*E55*F55,"")</f>
        <v/>
      </c>
      <c r="H55" s="12"/>
      <c r="I55" s="13"/>
    </row>
    <row r="56" customFormat="false" ht="18" hidden="false" customHeight="true" outlineLevel="0" collapsed="false">
      <c r="A56" s="12"/>
      <c r="B56" s="13"/>
      <c r="C56" s="13"/>
      <c r="D56" s="15"/>
      <c r="E56" s="16"/>
      <c r="F56" s="16"/>
      <c r="G56" s="17" t="str">
        <f aca="false">IF(COUNT(D56:F56)=3,D56*E56*F56,"")</f>
        <v/>
      </c>
      <c r="H56" s="12"/>
      <c r="I56" s="13"/>
    </row>
    <row r="57" customFormat="false" ht="18" hidden="false" customHeight="true" outlineLevel="0" collapsed="false">
      <c r="A57" s="12"/>
      <c r="B57" s="13"/>
      <c r="C57" s="13"/>
      <c r="D57" s="15"/>
      <c r="E57" s="16"/>
      <c r="F57" s="16"/>
      <c r="G57" s="17" t="str">
        <f aca="false">IF(COUNT(D57:F57)=3,D57*E57*F57,"")</f>
        <v/>
      </c>
      <c r="H57" s="12"/>
      <c r="I57" s="13"/>
    </row>
    <row r="58" customFormat="false" ht="18" hidden="false" customHeight="true" outlineLevel="0" collapsed="false">
      <c r="A58" s="12"/>
      <c r="B58" s="13"/>
      <c r="C58" s="13"/>
      <c r="D58" s="15"/>
      <c r="E58" s="16"/>
      <c r="F58" s="16"/>
      <c r="G58" s="17" t="str">
        <f aca="false">IF(COUNT(D58:F58)=3,D58*E58*F58,"")</f>
        <v/>
      </c>
      <c r="H58" s="12"/>
      <c r="I58" s="13"/>
    </row>
    <row r="59" customFormat="false" ht="18" hidden="false" customHeight="true" outlineLevel="0" collapsed="false">
      <c r="A59" s="12"/>
      <c r="B59" s="13"/>
      <c r="C59" s="13"/>
      <c r="D59" s="15"/>
      <c r="E59" s="16"/>
      <c r="F59" s="16"/>
      <c r="G59" s="17" t="str">
        <f aca="false">IF(COUNT(D59:F59)=3,D59*E59*F59,"")</f>
        <v/>
      </c>
      <c r="H59" s="12"/>
      <c r="I59" s="13"/>
    </row>
    <row r="60" customFormat="false" ht="18" hidden="false" customHeight="true" outlineLevel="0" collapsed="false">
      <c r="A60" s="12"/>
      <c r="B60" s="13"/>
      <c r="C60" s="13"/>
      <c r="D60" s="15"/>
      <c r="E60" s="16"/>
      <c r="F60" s="16"/>
      <c r="G60" s="17" t="str">
        <f aca="false">IF(COUNT(D60:F60)=3,D60*E60*F60,"")</f>
        <v/>
      </c>
      <c r="H60" s="12"/>
      <c r="I60" s="13"/>
    </row>
    <row r="61" customFormat="false" ht="18" hidden="false" customHeight="true" outlineLevel="0" collapsed="false">
      <c r="A61" s="12"/>
      <c r="B61" s="13"/>
      <c r="C61" s="13"/>
      <c r="D61" s="15"/>
      <c r="E61" s="16"/>
      <c r="F61" s="16"/>
      <c r="G61" s="17" t="str">
        <f aca="false">IF(COUNT(D61:F61)=3,D61*E61*F61,"")</f>
        <v/>
      </c>
      <c r="H61" s="12"/>
      <c r="I61" s="13"/>
    </row>
    <row r="62" customFormat="false" ht="18" hidden="false" customHeight="true" outlineLevel="0" collapsed="false">
      <c r="A62" s="12"/>
      <c r="B62" s="13"/>
      <c r="C62" s="13"/>
      <c r="D62" s="15"/>
      <c r="E62" s="16"/>
      <c r="F62" s="16"/>
      <c r="G62" s="17" t="str">
        <f aca="false">IF(COUNT(D62:F62)=3,D62*E62*F62,"")</f>
        <v/>
      </c>
      <c r="H62" s="12"/>
      <c r="I62" s="13"/>
    </row>
    <row r="63" customFormat="false" ht="18" hidden="false" customHeight="true" outlineLevel="0" collapsed="false">
      <c r="A63" s="12"/>
      <c r="B63" s="13"/>
      <c r="C63" s="13"/>
      <c r="D63" s="15"/>
      <c r="E63" s="16"/>
      <c r="F63" s="16"/>
      <c r="G63" s="17" t="str">
        <f aca="false">IF(COUNT(D63:F63)=3,D63*E63*F63,"")</f>
        <v/>
      </c>
      <c r="H63" s="12"/>
      <c r="I63" s="13"/>
    </row>
    <row r="64" customFormat="false" ht="24" hidden="false" customHeight="true" outlineLevel="0" collapsed="false">
      <c r="A64" s="18"/>
      <c r="B64" s="18"/>
      <c r="C64" s="19" t="s">
        <v>85</v>
      </c>
      <c r="D64" s="18"/>
      <c r="E64" s="18"/>
      <c r="F64" s="18"/>
      <c r="G64" s="20" t="n">
        <f aca="false">SUM(G4:G63)</f>
        <v>50000000</v>
      </c>
      <c r="H64" s="18"/>
      <c r="I64" s="18"/>
    </row>
  </sheetData>
  <dataValidations count="2">
    <dataValidation allowBlank="true" errorStyle="stop" operator="between" prompt="목록에 없는 비목도 직접 입력할 수 있습니다.&#10;단, [예산총괄표] 15~17행 노란 칸에 같은 이름을 적어야 집계됩니다." promptTitle="비목 선택" showDropDown="false" showErrorMessage="false" showInputMessage="true" sqref="A4:A63" type="list">
      <formula1>"인건비,강사비,재료비,임차료,홍보비,여비,회의비,행사운영비,기타운영비,간접비"</formula1>
      <formula2>0</formula2>
    </dataValidation>
    <dataValidation allowBlank="true" errorStyle="stop" operator="between" showDropDown="false" showErrorMessage="false" showInputMessage="false" sqref="H4:H63" type="list">
      <formula1>"보조금,자부담(현금),자부담(현물)"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34"/>
  </cols>
  <sheetData>
    <row r="1" customFormat="false" ht="21.6" hidden="false" customHeight="false" outlineLevel="0" collapsed="false">
      <c r="A1" s="9" t="s">
        <v>86</v>
      </c>
    </row>
    <row r="2" customFormat="false" ht="15" hidden="false" customHeight="false" outlineLevel="0" collapsed="false">
      <c r="A2" s="21" t="s">
        <v>87</v>
      </c>
    </row>
    <row r="4" customFormat="false" ht="30" hidden="false" customHeight="true" outlineLevel="0" collapsed="false">
      <c r="A4" s="11" t="s">
        <v>88</v>
      </c>
      <c r="B4" s="11" t="s">
        <v>41</v>
      </c>
      <c r="C4" s="11" t="s">
        <v>89</v>
      </c>
      <c r="D4" s="11" t="s">
        <v>90</v>
      </c>
      <c r="E4" s="11" t="s">
        <v>43</v>
      </c>
    </row>
    <row r="5" customFormat="false" ht="18.75" hidden="false" customHeight="true" outlineLevel="0" collapsed="false">
      <c r="A5" s="22" t="s">
        <v>49</v>
      </c>
      <c r="B5" s="23" t="n">
        <f aca="false">IF($A5="",0,SUMIF(산출근거입력!$A$4:$A$63,$A5,산출근거입력!$G$4:$G$63))</f>
        <v>4000000</v>
      </c>
      <c r="C5" s="24" t="n">
        <f aca="false">IFERROR(B5/$B$18,0)</f>
        <v>0.08</v>
      </c>
      <c r="D5" s="23" t="n">
        <f aca="false">ROUND(B5/1000,0)</f>
        <v>4000</v>
      </c>
      <c r="E5" s="25"/>
    </row>
    <row r="6" customFormat="false" ht="18.75" hidden="false" customHeight="true" outlineLevel="0" collapsed="false">
      <c r="A6" s="22" t="s">
        <v>44</v>
      </c>
      <c r="B6" s="23" t="n">
        <f aca="false">IF($A6="",0,SUMIF(산출근거입력!$A$4:$A$63,$A6,산출근거입력!$G$4:$G$63))</f>
        <v>10000000</v>
      </c>
      <c r="C6" s="24" t="n">
        <f aca="false">IFERROR(B6/$B$18,0)</f>
        <v>0.2</v>
      </c>
      <c r="D6" s="23" t="n">
        <f aca="false">ROUND(B6/1000,0)</f>
        <v>10000</v>
      </c>
      <c r="E6" s="25"/>
    </row>
    <row r="7" customFormat="false" ht="18.75" hidden="false" customHeight="true" outlineLevel="0" collapsed="false">
      <c r="A7" s="22" t="s">
        <v>53</v>
      </c>
      <c r="B7" s="23" t="n">
        <f aca="false">IF($A7="",0,SUMIF(산출근거입력!$A$4:$A$63,$A7,산출근거입력!$G$4:$G$63))</f>
        <v>18000000</v>
      </c>
      <c r="C7" s="24" t="n">
        <f aca="false">IFERROR(B7/$B$18,0)</f>
        <v>0.36</v>
      </c>
      <c r="D7" s="23" t="n">
        <f aca="false">ROUND(B7/1000,0)</f>
        <v>18000</v>
      </c>
      <c r="E7" s="25"/>
    </row>
    <row r="8" customFormat="false" ht="18.75" hidden="false" customHeight="true" outlineLevel="0" collapsed="false">
      <c r="A8" s="22" t="s">
        <v>73</v>
      </c>
      <c r="B8" s="23" t="n">
        <f aca="false">IF($A8="",0,SUMIF(산출근거입력!$A$4:$A$63,$A8,산출근거입력!$G$4:$G$63))</f>
        <v>4000000</v>
      </c>
      <c r="C8" s="24" t="n">
        <f aca="false">IFERROR(B8/$B$18,0)</f>
        <v>0.08</v>
      </c>
      <c r="D8" s="23" t="n">
        <f aca="false">ROUND(B8/1000,0)</f>
        <v>4000</v>
      </c>
      <c r="E8" s="25"/>
    </row>
    <row r="9" customFormat="false" ht="18.75" hidden="false" customHeight="true" outlineLevel="0" collapsed="false">
      <c r="A9" s="22" t="s">
        <v>61</v>
      </c>
      <c r="B9" s="23" t="n">
        <f aca="false">IF($A9="",0,SUMIF(산출근거입력!$A$4:$A$63,$A9,산출근거입력!$G$4:$G$63))</f>
        <v>3000000</v>
      </c>
      <c r="C9" s="24" t="n">
        <f aca="false">IFERROR(B9/$B$18,0)</f>
        <v>0.06</v>
      </c>
      <c r="D9" s="23" t="n">
        <f aca="false">ROUND(B9/1000,0)</f>
        <v>3000</v>
      </c>
      <c r="E9" s="25"/>
    </row>
    <row r="10" customFormat="false" ht="18.75" hidden="false" customHeight="true" outlineLevel="0" collapsed="false">
      <c r="A10" s="22" t="s">
        <v>69</v>
      </c>
      <c r="B10" s="23" t="n">
        <f aca="false">IF($A10="",0,SUMIF(산출근거입력!$A$4:$A$63,$A10,산출근거입력!$G$4:$G$63))</f>
        <v>3000000</v>
      </c>
      <c r="C10" s="24" t="n">
        <f aca="false">IFERROR(B10/$B$18,0)</f>
        <v>0.06</v>
      </c>
      <c r="D10" s="23" t="n">
        <f aca="false">ROUND(B10/1000,0)</f>
        <v>3000</v>
      </c>
      <c r="E10" s="25"/>
    </row>
    <row r="11" customFormat="false" ht="18.75" hidden="false" customHeight="true" outlineLevel="0" collapsed="false">
      <c r="A11" s="22" t="s">
        <v>91</v>
      </c>
      <c r="B11" s="23" t="n">
        <f aca="false">IF($A11="",0,SUMIF(산출근거입력!$A$4:$A$63,$A11,산출근거입력!$G$4:$G$63))</f>
        <v>0</v>
      </c>
      <c r="C11" s="24" t="n">
        <f aca="false">IFERROR(B11/$B$18,0)</f>
        <v>0</v>
      </c>
      <c r="D11" s="23" t="n">
        <f aca="false">ROUND(B11/1000,0)</f>
        <v>0</v>
      </c>
      <c r="E11" s="25"/>
    </row>
    <row r="12" customFormat="false" ht="18.75" hidden="false" customHeight="true" outlineLevel="0" collapsed="false">
      <c r="A12" s="22" t="s">
        <v>57</v>
      </c>
      <c r="B12" s="23" t="n">
        <f aca="false">IF($A12="",0,SUMIF(산출근거입력!$A$4:$A$63,$A12,산출근거입력!$G$4:$G$63))</f>
        <v>5000000</v>
      </c>
      <c r="C12" s="24" t="n">
        <f aca="false">IFERROR(B12/$B$18,0)</f>
        <v>0.1</v>
      </c>
      <c r="D12" s="23" t="n">
        <f aca="false">ROUND(B12/1000,0)</f>
        <v>5000</v>
      </c>
      <c r="E12" s="25"/>
    </row>
    <row r="13" customFormat="false" ht="18.75" hidden="false" customHeight="true" outlineLevel="0" collapsed="false">
      <c r="A13" s="22" t="s">
        <v>78</v>
      </c>
      <c r="B13" s="23" t="n">
        <f aca="false">IF($A13="",0,SUMIF(산출근거입력!$A$4:$A$63,$A13,산출근거입력!$G$4:$G$63))</f>
        <v>1000000</v>
      </c>
      <c r="C13" s="24" t="n">
        <f aca="false">IFERROR(B13/$B$18,0)</f>
        <v>0.02</v>
      </c>
      <c r="D13" s="23" t="n">
        <f aca="false">ROUND(B13/1000,0)</f>
        <v>1000</v>
      </c>
      <c r="E13" s="25"/>
    </row>
    <row r="14" customFormat="false" ht="18.75" hidden="false" customHeight="true" outlineLevel="0" collapsed="false">
      <c r="A14" s="22" t="s">
        <v>82</v>
      </c>
      <c r="B14" s="23" t="n">
        <f aca="false">IF($A14="",0,SUMIF(산출근거입력!$A$4:$A$63,$A14,산출근거입력!$G$4:$G$63))</f>
        <v>2000000</v>
      </c>
      <c r="C14" s="24" t="n">
        <f aca="false">IFERROR(B14/$B$18,0)</f>
        <v>0.04</v>
      </c>
      <c r="D14" s="23" t="n">
        <f aca="false">ROUND(B14/1000,0)</f>
        <v>2000</v>
      </c>
      <c r="E14" s="25"/>
    </row>
    <row r="15" customFormat="false" ht="18.75" hidden="false" customHeight="true" outlineLevel="0" collapsed="false">
      <c r="A15" s="26"/>
      <c r="B15" s="23" t="n">
        <f aca="false">IF($A15="",0,SUMIF(산출근거입력!$A$4:$A$63,$A15,산출근거입력!$G$4:$G$63))</f>
        <v>0</v>
      </c>
      <c r="C15" s="24" t="n">
        <f aca="false">IFERROR(B15/$B$18,0)</f>
        <v>0</v>
      </c>
      <c r="D15" s="23" t="n">
        <f aca="false">ROUND(B15/1000,0)</f>
        <v>0</v>
      </c>
      <c r="E15" s="27" t="s">
        <v>92</v>
      </c>
    </row>
    <row r="16" customFormat="false" ht="18.75" hidden="false" customHeight="true" outlineLevel="0" collapsed="false">
      <c r="A16" s="26"/>
      <c r="B16" s="23" t="n">
        <f aca="false">IF($A16="",0,SUMIF(산출근거입력!$A$4:$A$63,$A16,산출근거입력!$G$4:$G$63))</f>
        <v>0</v>
      </c>
      <c r="C16" s="24" t="n">
        <f aca="false">IFERROR(B16/$B$18,0)</f>
        <v>0</v>
      </c>
      <c r="D16" s="23" t="n">
        <f aca="false">ROUND(B16/1000,0)</f>
        <v>0</v>
      </c>
      <c r="E16" s="27" t="s">
        <v>92</v>
      </c>
    </row>
    <row r="17" customFormat="false" ht="18.75" hidden="false" customHeight="true" outlineLevel="0" collapsed="false">
      <c r="A17" s="26"/>
      <c r="B17" s="23" t="n">
        <f aca="false">IF($A17="",0,SUMIF(산출근거입력!$A$4:$A$63,$A17,산출근거입력!$G$4:$G$63))</f>
        <v>0</v>
      </c>
      <c r="C17" s="24" t="n">
        <f aca="false">IFERROR(B17/$B$18,0)</f>
        <v>0</v>
      </c>
      <c r="D17" s="23" t="n">
        <f aca="false">ROUND(B17/1000,0)</f>
        <v>0</v>
      </c>
      <c r="E17" s="27" t="s">
        <v>92</v>
      </c>
    </row>
    <row r="18" customFormat="false" ht="15" hidden="false" customHeight="false" outlineLevel="0" collapsed="false">
      <c r="A18" s="28" t="s">
        <v>85</v>
      </c>
      <c r="B18" s="29" t="n">
        <f aca="false">SUM(B5:B17)</f>
        <v>50000000</v>
      </c>
      <c r="C18" s="30" t="n">
        <f aca="false">IFERROR(B18/B18,0)</f>
        <v>1</v>
      </c>
      <c r="D18" s="29" t="n">
        <f aca="false">ROUND(B18/1000,0)</f>
        <v>50000</v>
      </c>
      <c r="E18" s="28"/>
    </row>
    <row r="20" customFormat="false" ht="15" hidden="false" customHeight="false" outlineLevel="0" collapsed="false">
      <c r="A20" s="31" t="s">
        <v>93</v>
      </c>
    </row>
    <row r="21" customFormat="false" ht="30" hidden="false" customHeight="true" outlineLevel="0" collapsed="false">
      <c r="A21" s="11" t="s">
        <v>42</v>
      </c>
      <c r="B21" s="11" t="s">
        <v>41</v>
      </c>
      <c r="C21" s="11" t="s">
        <v>89</v>
      </c>
      <c r="D21" s="11" t="s">
        <v>90</v>
      </c>
      <c r="E21" s="11" t="s">
        <v>43</v>
      </c>
    </row>
    <row r="22" customFormat="false" ht="15" hidden="false" customHeight="false" outlineLevel="0" collapsed="false">
      <c r="A22" s="22" t="s">
        <v>47</v>
      </c>
      <c r="B22" s="23" t="n">
        <f aca="false">SUMIF(산출근거입력!$H$4:$H$63,$A22,산출근거입력!$G$4:$G$63)</f>
        <v>45000000</v>
      </c>
      <c r="C22" s="24" t="n">
        <f aca="false">IFERROR(B22/$B$25,0)</f>
        <v>0.9</v>
      </c>
      <c r="D22" s="23" t="n">
        <f aca="false">ROUND(B22/1000,0)</f>
        <v>45000</v>
      </c>
      <c r="E22" s="32" t="s">
        <v>94</v>
      </c>
    </row>
    <row r="23" customFormat="false" ht="15" hidden="false" customHeight="false" outlineLevel="0" collapsed="false">
      <c r="A23" s="22" t="s">
        <v>95</v>
      </c>
      <c r="B23" s="23" t="n">
        <f aca="false">SUMIF(산출근거입력!$H$4:$H$63,$A23,산출근거입력!$G$4:$G$63)</f>
        <v>1000000</v>
      </c>
      <c r="C23" s="24" t="n">
        <f aca="false">IFERROR(B23/$B$25,0)</f>
        <v>0.02</v>
      </c>
      <c r="D23" s="23" t="n">
        <f aca="false">ROUND(B23/1000,0)</f>
        <v>1000</v>
      </c>
      <c r="E23" s="32" t="s">
        <v>96</v>
      </c>
    </row>
    <row r="24" customFormat="false" ht="15" hidden="false" customHeight="false" outlineLevel="0" collapsed="false">
      <c r="A24" s="22" t="s">
        <v>97</v>
      </c>
      <c r="B24" s="23" t="n">
        <f aca="false">SUMIF(산출근거입력!$H$4:$H$63,$A24,산출근거입력!$G$4:$G$63)</f>
        <v>4000000</v>
      </c>
      <c r="C24" s="24" t="n">
        <f aca="false">IFERROR(B24/$B$25,0)</f>
        <v>0.08</v>
      </c>
      <c r="D24" s="23" t="n">
        <f aca="false">ROUND(B24/1000,0)</f>
        <v>4000</v>
      </c>
      <c r="E24" s="32" t="s">
        <v>98</v>
      </c>
    </row>
    <row r="25" customFormat="false" ht="15" hidden="false" customHeight="false" outlineLevel="0" collapsed="false">
      <c r="A25" s="28" t="s">
        <v>85</v>
      </c>
      <c r="B25" s="29" t="n">
        <f aca="false">SUM(B22:B24)</f>
        <v>50000000</v>
      </c>
      <c r="C25" s="30" t="n">
        <f aca="false">IFERROR(B25/B25,0)</f>
        <v>1</v>
      </c>
      <c r="D25" s="29" t="n">
        <f aca="false">ROUND(B25/1000,0)</f>
        <v>50000</v>
      </c>
      <c r="E25" s="28"/>
    </row>
    <row r="27" customFormat="false" ht="15" hidden="false" customHeight="false" outlineLevel="0" collapsed="false">
      <c r="A27" s="33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4" min="3" style="0" width="18"/>
    <col collapsed="false" customWidth="true" hidden="false" outlineLevel="0" max="5" min="5" style="0" width="14"/>
    <col collapsed="false" customWidth="true" hidden="false" outlineLevel="0" max="6" min="6" style="0" width="42"/>
  </cols>
  <sheetData>
    <row r="2" customFormat="false" ht="21.6" hidden="false" customHeight="false" outlineLevel="0" collapsed="false">
      <c r="B2" s="9" t="s">
        <v>100</v>
      </c>
    </row>
    <row r="3" customFormat="false" ht="15" hidden="false" customHeight="false" outlineLevel="0" collapsed="false">
      <c r="B3" s="34" t="s">
        <v>101</v>
      </c>
    </row>
    <row r="5" customFormat="false" ht="15" hidden="false" customHeight="false" outlineLevel="0" collapsed="false">
      <c r="B5" s="31" t="s">
        <v>102</v>
      </c>
    </row>
    <row r="6" customFormat="false" ht="18.75" hidden="false" customHeight="true" outlineLevel="0" collapsed="false">
      <c r="B6" s="8" t="s">
        <v>103</v>
      </c>
      <c r="C6" s="35" t="n">
        <v>50000000</v>
      </c>
      <c r="D6" s="34" t="s">
        <v>104</v>
      </c>
    </row>
    <row r="7" customFormat="false" ht="18.75" hidden="false" customHeight="true" outlineLevel="0" collapsed="false">
      <c r="B7" s="8" t="s">
        <v>105</v>
      </c>
      <c r="C7" s="36" t="n">
        <v>0.3</v>
      </c>
      <c r="D7" s="34" t="s">
        <v>106</v>
      </c>
    </row>
    <row r="8" customFormat="false" ht="18.75" hidden="false" customHeight="true" outlineLevel="0" collapsed="false">
      <c r="B8" s="8" t="s">
        <v>107</v>
      </c>
      <c r="C8" s="36" t="n">
        <v>0.1</v>
      </c>
      <c r="D8" s="34" t="s">
        <v>108</v>
      </c>
    </row>
    <row r="9" customFormat="false" ht="18.75" hidden="false" customHeight="true" outlineLevel="0" collapsed="false">
      <c r="B9" s="8" t="s">
        <v>109</v>
      </c>
      <c r="C9" s="36" t="n">
        <v>0.1</v>
      </c>
      <c r="D9" s="34" t="s">
        <v>110</v>
      </c>
    </row>
    <row r="12" customFormat="false" ht="15" hidden="false" customHeight="false" outlineLevel="0" collapsed="false">
      <c r="B12" s="31" t="s">
        <v>111</v>
      </c>
    </row>
    <row r="13" customFormat="false" ht="30" hidden="false" customHeight="true" outlineLevel="0" collapsed="false">
      <c r="A13" s="11"/>
      <c r="B13" s="11" t="s">
        <v>112</v>
      </c>
      <c r="C13" s="11" t="s">
        <v>113</v>
      </c>
      <c r="D13" s="11" t="s">
        <v>114</v>
      </c>
      <c r="E13" s="11" t="s">
        <v>115</v>
      </c>
      <c r="F13" s="11" t="s">
        <v>116</v>
      </c>
    </row>
    <row r="14" customFormat="false" ht="19.5" hidden="false" customHeight="true" outlineLevel="0" collapsed="false">
      <c r="B14" s="37" t="s">
        <v>117</v>
      </c>
      <c r="C14" s="38" t="s">
        <v>118</v>
      </c>
      <c r="D14" s="39" t="n">
        <f aca="false">산출근거입력!G64-예산총괄표!B18</f>
        <v>0</v>
      </c>
      <c r="E14" s="40" t="str">
        <f aca="false">IF(산출근거입력!G64-예산총괄표!B18=0,"적합","누락 발생")</f>
        <v>적합</v>
      </c>
      <c r="F14" s="41" t="s">
        <v>119</v>
      </c>
    </row>
    <row r="15" customFormat="false" ht="19.5" hidden="false" customHeight="true" outlineLevel="0" collapsed="false">
      <c r="B15" s="37" t="s">
        <v>120</v>
      </c>
      <c r="C15" s="42" t="n">
        <f aca="false">C6</f>
        <v>50000000</v>
      </c>
      <c r="D15" s="42" t="n">
        <f aca="false">예산총괄표!B18</f>
        <v>50000000</v>
      </c>
      <c r="E15" s="40" t="str">
        <f aca="false">IF(예산총괄표!B18=C6,"적합","확인 필요")</f>
        <v>적합</v>
      </c>
      <c r="F15" s="41" t="s">
        <v>121</v>
      </c>
    </row>
    <row r="16" customFormat="false" ht="19.5" hidden="false" customHeight="true" outlineLevel="0" collapsed="false">
      <c r="B16" s="37" t="s">
        <v>122</v>
      </c>
      <c r="C16" s="24" t="n">
        <f aca="false">C7</f>
        <v>0.3</v>
      </c>
      <c r="D16" s="24" t="n">
        <f aca="false">IFERROR((예산총괄표!B5+예산총괄표!B6)/예산총괄표!B18,0)</f>
        <v>0.28</v>
      </c>
      <c r="E16" s="40" t="str">
        <f aca="false">IF(IFERROR((예산총괄표!B5+예산총괄표!B6)/예산총괄표!B18,0)&lt;=C7,"적합","초과")</f>
        <v>적합</v>
      </c>
      <c r="F16" s="41" t="s">
        <v>123</v>
      </c>
    </row>
    <row r="17" customFormat="false" ht="19.5" hidden="false" customHeight="true" outlineLevel="0" collapsed="false">
      <c r="B17" s="37" t="s">
        <v>124</v>
      </c>
      <c r="C17" s="24" t="n">
        <f aca="false">C8</f>
        <v>0.1</v>
      </c>
      <c r="D17" s="24" t="n">
        <f aca="false">IFERROR((예산총괄표!B23+예산총괄표!B24)/예산총괄표!B25,0)</f>
        <v>0.1</v>
      </c>
      <c r="E17" s="40" t="str">
        <f aca="false">IF(IFERROR((예산총괄표!B23+예산총괄표!B24)/예산총괄표!B25,0)&gt;=C8,"적합","부족")</f>
        <v>적합</v>
      </c>
      <c r="F17" s="41" t="s">
        <v>125</v>
      </c>
    </row>
    <row r="18" customFormat="false" ht="19.5" hidden="false" customHeight="true" outlineLevel="0" collapsed="false">
      <c r="B18" s="37" t="s">
        <v>126</v>
      </c>
      <c r="C18" s="24" t="n">
        <f aca="false">C9</f>
        <v>0.1</v>
      </c>
      <c r="D18" s="24" t="n">
        <f aca="false">IFERROR(예산총괄표!B14/예산총괄표!B18,0)</f>
        <v>0.04</v>
      </c>
      <c r="E18" s="40" t="str">
        <f aca="false">IF(IFERROR(예산총괄표!B14/예산총괄표!B18,0)&lt;=C9,"적합","초과")</f>
        <v>적합</v>
      </c>
      <c r="F18" s="41" t="s">
        <v>127</v>
      </c>
    </row>
    <row r="19" customFormat="false" ht="19.5" hidden="false" customHeight="true" outlineLevel="0" collapsed="false">
      <c r="B19" s="37" t="s">
        <v>128</v>
      </c>
      <c r="C19" s="38" t="s">
        <v>129</v>
      </c>
      <c r="D19" s="43" t="n">
        <f aca="false">SUMPRODUCT((산출근거입력!G4:G63&lt;&gt;"")*(산출근거입력!C4:C63=""))</f>
        <v>0</v>
      </c>
      <c r="E19" s="40" t="str">
        <f aca="false">IF(SUMPRODUCT((산출근거입력!G4:G63&lt;&gt;"")*(산출근거입력!C4:C63=""))=0,"적합","보완 필요")</f>
        <v>적합</v>
      </c>
      <c r="F19" s="41" t="s">
        <v>130</v>
      </c>
    </row>
    <row r="20" customFormat="false" ht="19.5" hidden="false" customHeight="true" outlineLevel="0" collapsed="false">
      <c r="B20" s="37" t="s">
        <v>131</v>
      </c>
      <c r="C20" s="38" t="s">
        <v>129</v>
      </c>
      <c r="D20" s="43" t="n">
        <f aca="false">SUMPRODUCT((산출근거입력!G4:G63&lt;&gt;"")*(산출근거입력!A4:A63=""))</f>
        <v>0</v>
      </c>
      <c r="E20" s="40" t="str">
        <f aca="false">IF(SUMPRODUCT((산출근거입력!G4:G63&lt;&gt;"")*(산출근거입력!A4:A63=""))=0,"적합","보완 필요")</f>
        <v>적합</v>
      </c>
      <c r="F20" s="41" t="s">
        <v>132</v>
      </c>
    </row>
    <row r="21" customFormat="false" ht="19.5" hidden="false" customHeight="true" outlineLevel="0" collapsed="false">
      <c r="B21" s="37" t="s">
        <v>133</v>
      </c>
      <c r="C21" s="38" t="s">
        <v>129</v>
      </c>
      <c r="D21" s="43" t="n">
        <f aca="false">SUMPRODUCT((산출근거입력!G4:G63&lt;&gt;"")*(산출근거입력!H4:H63=""))</f>
        <v>0</v>
      </c>
      <c r="E21" s="40" t="str">
        <f aca="false">IF(SUMPRODUCT((산출근거입력!G4:G63&lt;&gt;"")*(산출근거입력!H4:H63=""))=0,"적합","보완 필요")</f>
        <v>적합</v>
      </c>
      <c r="F21" s="41" t="s">
        <v>134</v>
      </c>
    </row>
    <row r="25" customFormat="false" ht="15" hidden="false" customHeight="false" outlineLevel="0" collapsed="false">
      <c r="B25" s="44" t="s">
        <v>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9" t="s">
        <v>136</v>
      </c>
    </row>
    <row r="2" customFormat="false" ht="15" hidden="false" customHeight="false" outlineLevel="0" collapsed="false">
      <c r="A2" s="34" t="s">
        <v>137</v>
      </c>
    </row>
    <row r="3" customFormat="false" ht="15" hidden="false" customHeight="false" outlineLevel="0" collapsed="false">
      <c r="A3" s="33" t="s">
        <v>138</v>
      </c>
    </row>
    <row r="5" customFormat="false" ht="30" hidden="false" customHeight="true" outlineLevel="0" collapsed="false">
      <c r="A5" s="11" t="s">
        <v>139</v>
      </c>
      <c r="B5" s="11" t="s">
        <v>140</v>
      </c>
      <c r="C5" s="11" t="s">
        <v>141</v>
      </c>
      <c r="D5" s="11" t="s">
        <v>142</v>
      </c>
      <c r="E5" s="11" t="s">
        <v>143</v>
      </c>
    </row>
    <row r="6" customFormat="false" ht="19.5" hidden="false" customHeight="true" outlineLevel="0" collapsed="false">
      <c r="A6" s="45" t="s">
        <v>144</v>
      </c>
      <c r="B6" s="46" t="s">
        <v>145</v>
      </c>
      <c r="C6" s="46" t="s">
        <v>146</v>
      </c>
      <c r="D6" s="47" t="s">
        <v>147</v>
      </c>
      <c r="E6" s="48" t="s">
        <v>148</v>
      </c>
    </row>
    <row r="7" customFormat="false" ht="19.5" hidden="false" customHeight="true" outlineLevel="0" collapsed="false">
      <c r="A7" s="45" t="s">
        <v>144</v>
      </c>
      <c r="B7" s="46" t="s">
        <v>149</v>
      </c>
      <c r="C7" s="46" t="s">
        <v>150</v>
      </c>
      <c r="D7" s="47" t="s">
        <v>147</v>
      </c>
      <c r="E7" s="48" t="s">
        <v>151</v>
      </c>
    </row>
    <row r="8" customFormat="false" ht="19.5" hidden="false" customHeight="true" outlineLevel="0" collapsed="false">
      <c r="A8" s="45" t="s">
        <v>144</v>
      </c>
      <c r="B8" s="46" t="s">
        <v>152</v>
      </c>
      <c r="C8" s="46" t="s">
        <v>153</v>
      </c>
      <c r="D8" s="47" t="s">
        <v>154</v>
      </c>
      <c r="E8" s="48" t="s">
        <v>155</v>
      </c>
    </row>
    <row r="9" customFormat="false" ht="19.5" hidden="false" customHeight="true" outlineLevel="0" collapsed="false">
      <c r="A9" s="45" t="s">
        <v>156</v>
      </c>
      <c r="B9" s="46" t="s">
        <v>157</v>
      </c>
      <c r="C9" s="46" t="s">
        <v>158</v>
      </c>
      <c r="D9" s="47" t="s">
        <v>159</v>
      </c>
      <c r="E9" s="48" t="s">
        <v>160</v>
      </c>
    </row>
    <row r="10" customFormat="false" ht="19.5" hidden="false" customHeight="true" outlineLevel="0" collapsed="false">
      <c r="A10" s="45" t="s">
        <v>161</v>
      </c>
      <c r="B10" s="46" t="s">
        <v>162</v>
      </c>
      <c r="C10" s="46" t="s">
        <v>163</v>
      </c>
      <c r="D10" s="47" t="s">
        <v>164</v>
      </c>
      <c r="E10" s="48" t="s">
        <v>165</v>
      </c>
    </row>
    <row r="11" customFormat="false" ht="19.5" hidden="false" customHeight="true" outlineLevel="0" collapsed="false">
      <c r="A11" s="45" t="s">
        <v>166</v>
      </c>
      <c r="B11" s="46" t="s">
        <v>167</v>
      </c>
      <c r="C11" s="46" t="s">
        <v>168</v>
      </c>
      <c r="D11" s="47" t="s">
        <v>169</v>
      </c>
      <c r="E11" s="48" t="s">
        <v>165</v>
      </c>
    </row>
    <row r="12" customFormat="false" ht="19.5" hidden="false" customHeight="true" outlineLevel="0" collapsed="false">
      <c r="A12" s="49" t="s">
        <v>170</v>
      </c>
      <c r="B12" s="50" t="s">
        <v>171</v>
      </c>
      <c r="C12" s="46" t="s">
        <v>172</v>
      </c>
      <c r="D12" s="47" t="s">
        <v>169</v>
      </c>
      <c r="E12" s="48" t="s">
        <v>173</v>
      </c>
    </row>
    <row r="13" customFormat="false" ht="19.5" hidden="false" customHeight="true" outlineLevel="0" collapsed="false">
      <c r="A13" s="45" t="s">
        <v>174</v>
      </c>
      <c r="B13" s="46" t="s">
        <v>175</v>
      </c>
      <c r="C13" s="46" t="s">
        <v>176</v>
      </c>
      <c r="D13" s="47" t="s">
        <v>177</v>
      </c>
      <c r="E13" s="48" t="s">
        <v>178</v>
      </c>
    </row>
    <row r="14" customFormat="false" ht="19.5" hidden="false" customHeight="true" outlineLevel="0" collapsed="false">
      <c r="A14" s="45" t="s">
        <v>174</v>
      </c>
      <c r="B14" s="46" t="s">
        <v>179</v>
      </c>
      <c r="C14" s="46" t="s">
        <v>180</v>
      </c>
      <c r="D14" s="47" t="s">
        <v>177</v>
      </c>
      <c r="E14" s="48" t="s">
        <v>178</v>
      </c>
    </row>
    <row r="15" customFormat="false" ht="19.5" hidden="false" customHeight="true" outlineLevel="0" collapsed="false">
      <c r="A15" s="45" t="s">
        <v>181</v>
      </c>
      <c r="B15" s="46" t="s">
        <v>182</v>
      </c>
      <c r="C15" s="46" t="s">
        <v>183</v>
      </c>
      <c r="D15" s="47" t="s">
        <v>177</v>
      </c>
      <c r="E15" s="48" t="s">
        <v>178</v>
      </c>
    </row>
    <row r="16" customFormat="false" ht="19.5" hidden="false" customHeight="true" outlineLevel="0" collapsed="false">
      <c r="A16" s="45" t="s">
        <v>184</v>
      </c>
      <c r="B16" s="46" t="s">
        <v>185</v>
      </c>
      <c r="C16" s="46" t="s">
        <v>153</v>
      </c>
      <c r="D16" s="47" t="s">
        <v>154</v>
      </c>
      <c r="E16" s="48" t="s">
        <v>186</v>
      </c>
    </row>
    <row r="17" customFormat="false" ht="19.5" hidden="false" customHeight="true" outlineLevel="0" collapsed="false">
      <c r="A17" s="45" t="s">
        <v>187</v>
      </c>
      <c r="B17" s="46" t="s">
        <v>188</v>
      </c>
      <c r="C17" s="46" t="s">
        <v>189</v>
      </c>
      <c r="D17" s="46" t="s">
        <v>190</v>
      </c>
      <c r="E17" s="48" t="s">
        <v>191</v>
      </c>
    </row>
    <row r="18" customFormat="false" ht="19.5" hidden="false" customHeight="true" outlineLevel="0" collapsed="false">
      <c r="A18" s="45" t="s">
        <v>187</v>
      </c>
      <c r="B18" s="46" t="s">
        <v>192</v>
      </c>
      <c r="C18" s="46" t="s">
        <v>193</v>
      </c>
      <c r="D18" s="46" t="s">
        <v>194</v>
      </c>
      <c r="E18" s="48" t="s">
        <v>165</v>
      </c>
    </row>
    <row r="19" customFormat="false" ht="19.5" hidden="false" customHeight="true" outlineLevel="0" collapsed="false">
      <c r="A19" s="45" t="s">
        <v>187</v>
      </c>
      <c r="B19" s="46" t="s">
        <v>195</v>
      </c>
      <c r="C19" s="46" t="s">
        <v>196</v>
      </c>
      <c r="D19" s="46" t="s">
        <v>197</v>
      </c>
      <c r="E19" s="48" t="s">
        <v>160</v>
      </c>
    </row>
    <row r="20" customFormat="false" ht="19.5" hidden="false" customHeight="true" outlineLevel="0" collapsed="false">
      <c r="A20" s="45" t="s">
        <v>198</v>
      </c>
      <c r="B20" s="46" t="s">
        <v>199</v>
      </c>
      <c r="C20" s="46" t="s">
        <v>200</v>
      </c>
      <c r="D20" s="46" t="s">
        <v>201</v>
      </c>
      <c r="E20" s="48" t="s">
        <v>202</v>
      </c>
    </row>
    <row r="22" customFormat="false" ht="19.4" hidden="false" customHeight="false" outlineLevel="0" collapsed="false">
      <c r="A22" s="51" t="s">
        <v>203</v>
      </c>
    </row>
    <row r="23" customFormat="false" ht="15" hidden="false" customHeight="false" outlineLevel="0" collapsed="false">
      <c r="A23" s="2" t="s">
        <v>204</v>
      </c>
    </row>
    <row r="24" customFormat="false" ht="15" hidden="false" customHeight="false" outlineLevel="0" collapsed="false">
      <c r="A24" s="2" t="s">
        <v>205</v>
      </c>
    </row>
    <row r="26" customFormat="false" ht="19.4" hidden="false" customHeight="false" outlineLevel="0" collapsed="false">
      <c r="A26" s="51" t="s">
        <v>206</v>
      </c>
    </row>
    <row r="27" customFormat="false" ht="15" hidden="false" customHeight="false" outlineLevel="0" collapsed="false">
      <c r="A27" s="52" t="s">
        <v>207</v>
      </c>
    </row>
    <row r="28" customFormat="false" ht="15" hidden="false" customHeight="false" outlineLevel="0" collapsed="false">
      <c r="A28" s="52" t="s">
        <v>208</v>
      </c>
    </row>
    <row r="29" customFormat="false" ht="15" hidden="false" customHeight="false" outlineLevel="0" collapsed="false">
      <c r="A29" s="52" t="s">
        <v>209</v>
      </c>
    </row>
    <row r="30" customFormat="false" ht="15" hidden="false" customHeight="false" outlineLevel="0" collapsed="false">
      <c r="A30" s="52" t="s">
        <v>210</v>
      </c>
    </row>
    <row r="31" customFormat="false" ht="15" hidden="false" customHeight="false" outlineLevel="0" collapsed="false">
      <c r="A31" s="52" t="s">
        <v>211</v>
      </c>
    </row>
    <row r="33" customFormat="false" ht="15" hidden="false" customHeight="false" outlineLevel="0" collapsed="false">
      <c r="A33" s="51" t="s">
        <v>212</v>
      </c>
    </row>
    <row r="34" customFormat="false" ht="15" hidden="false" customHeight="false" outlineLevel="0" collapsed="false">
      <c r="A34" s="53" t="s">
        <v>213</v>
      </c>
    </row>
    <row r="35" customFormat="false" ht="15" hidden="false" customHeight="false" outlineLevel="0" collapsed="false">
      <c r="A35" s="53" t="s">
        <v>214</v>
      </c>
    </row>
    <row r="36" customFormat="false" ht="15" hidden="false" customHeight="false" outlineLevel="0" collapsed="false">
      <c r="A36" s="53" t="s">
        <v>215</v>
      </c>
    </row>
    <row r="37" customFormat="false" ht="15" hidden="false" customHeight="false" outlineLevel="0" collapsed="false">
      <c r="A37" s="53" t="s">
        <v>216</v>
      </c>
    </row>
  </sheetData>
  <hyperlinks>
    <hyperlink ref="D6" r:id="rId1" display="codil.or.kr"/>
    <hyperlink ref="D7" r:id="rId2" display="codil.or.kr"/>
    <hyperlink ref="D8" r:id="rId3" display="g2b.go.kr"/>
    <hyperlink ref="D9" r:id="rId4" display="cost.kict.re.kr"/>
    <hyperlink ref="D10" r:id="rId5" display="mois.go.kr"/>
    <hyperlink ref="D11" r:id="rId6" display="kpi.or.kr"/>
    <hyperlink ref="D12" r:id="rId7" display="kpi.or.kr"/>
    <hyperlink ref="D13" r:id="rId8" display="law.go.kr"/>
    <hyperlink ref="D14" r:id="rId9" display="law.go.kr"/>
    <hyperlink ref="D15" r:id="rId10" display="law.go.kr"/>
    <hyperlink ref="D16" r:id="rId11" display="g2b.go.k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2026-08-19T15:52:39Z</dcterms:created>
  <dc:creator>openpyxl</dc:creator>
  <dc:description/>
  <dc:language>en-US</dc:language>
  <cp:lastModifiedBy/>
  <dcterms:modified xsi:type="dcterms:W3CDTF">2026-08-19T15:52:39Z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