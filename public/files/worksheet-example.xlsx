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공고분석" sheetId="1" state="visible" r:id="rId3"/>
    <sheet name="② 목차설계" sheetId="2" state="visible" r:id="rId4"/>
    <sheet name="③ 예산" sheetId="3" state="visible" r:id="rId5"/>
    <sheet name="④ 성과지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<sst xmlns="http://schemas.openxmlformats.org/spreadsheetml/2006/main" count="250" uniqueCount="220">
  <si>
    <t xml:space="preserve">① 공고 분석 원페이지</t>
  </si>
  <si>
    <r>
      <rPr>
        <i val="true"/>
        <sz val="9"/>
        <color rgb="FF666666"/>
        <rFont val="Noto Sans CJK SC"/>
        <family val="2"/>
      </rPr>
      <t xml:space="preserve">이 한 장을 손에 쥐고 계획서 전체를 씁니다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여기 없는 내용은 쓰지 않습니다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</si>
  <si>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기본 정보</t>
  </si>
  <si>
    <t xml:space="preserve">사업명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</si>
  <si>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지역 아동 문화예술 교육 지원</t>
    </r>
  </si>
  <si>
    <t xml:space="preserve">공고기관</t>
  </si>
  <si>
    <r>
      <rPr>
        <sz val="10"/>
        <rFont val="Noto Sans CJK SC"/>
        <family val="2"/>
      </rPr>
      <t xml:space="preserve">○○문화재단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지자체 출연기관</t>
    </r>
    <r>
      <rPr>
        <sz val="10"/>
        <rFont val="Arial"/>
        <family val="0"/>
        <charset val="1"/>
      </rPr>
      <t xml:space="preserve">)</t>
    </r>
  </si>
  <si>
    <t xml:space="preserve">총사업비</t>
  </si>
  <si>
    <r>
      <rPr>
        <sz val="10"/>
        <rFont val="Arial"/>
        <family val="0"/>
        <charset val="1"/>
      </rPr>
      <t xml:space="preserve">50,000</t>
    </r>
    <r>
      <rPr>
        <sz val="10"/>
        <rFont val="Noto Sans CJK SC"/>
        <family val="2"/>
      </rPr>
      <t xml:space="preserve">천원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자부담 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이상</t>
    </r>
  </si>
  <si>
    <t xml:space="preserve">사업기간</t>
  </si>
  <si>
    <r>
      <rPr>
        <sz val="10"/>
        <rFont val="Arial"/>
        <family val="0"/>
        <charset val="1"/>
      </rPr>
      <t xml:space="preserve">2026. 3. ~ 12. (10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</si>
  <si>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접수마감</t>
  </si>
  <si>
    <r>
      <rPr>
        <sz val="10"/>
        <rFont val="Arial"/>
        <family val="0"/>
        <charset val="1"/>
      </rPr>
      <t xml:space="preserve">2026. 2. 20.(</t>
    </r>
    <r>
      <rPr>
        <sz val="10"/>
        <rFont val="Noto Sans CJK SC"/>
        <family val="2"/>
      </rPr>
      <t xml:space="preserve">금</t>
    </r>
    <r>
      <rPr>
        <sz val="10"/>
        <rFont val="Arial"/>
        <family val="0"/>
        <charset val="1"/>
      </rPr>
      <t xml:space="preserve">) 18:00</t>
    </r>
  </si>
  <si>
    <t xml:space="preserve">신청방법</t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</si>
  <si>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나라도움 온라인 접수</t>
    </r>
  </si>
  <si>
    <t xml:space="preserve">참가자격</t>
  </si>
  <si>
    <t xml:space="preserve">지역 소재 비영리법인</t>
  </si>
  <si>
    <t xml:space="preserve">제출분량</t>
  </si>
  <si>
    <r>
      <rPr>
        <sz val="10"/>
        <rFont val="Noto Sans CJK SC"/>
        <family val="2"/>
      </rPr>
      <t xml:space="preserve">계획서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쪽 이내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지정 서식</t>
    </r>
  </si>
  <si>
    <r>
      <rPr>
        <b val="true"/>
        <sz val="12"/>
        <rFont val="Noto Sans CJK SC"/>
        <family val="2"/>
      </rPr>
      <t xml:space="preserve">심사 배점표  —  배점이 곧 목차이고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배점 비율이 곧 분량입니다</t>
    </r>
  </si>
  <si>
    <t xml:space="preserve">평가항목</t>
  </si>
  <si>
    <t xml:space="preserve">확인 내용</t>
  </si>
  <si>
    <t xml:space="preserve">우리 대응</t>
  </si>
  <si>
    <t xml:space="preserve">배점</t>
  </si>
  <si>
    <t xml:space="preserve">비율</t>
  </si>
  <si>
    <t xml:space="preserve">배정 쪽수</t>
  </si>
  <si>
    <t xml:space="preserve">사업 내용</t>
  </si>
  <si>
    <t xml:space="preserve">핵심 추진사항의 구체성</t>
  </si>
  <si>
    <r>
      <rPr>
        <sz val="10"/>
        <rFont val="Noto Sans CJK SC"/>
        <family val="2"/>
      </rPr>
      <t xml:space="preserve">교육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마을축제로 초과 제안</t>
    </r>
  </si>
  <si>
    <r>
      <rPr>
        <sz val="10"/>
        <rFont val="Noto Sans CJK SC"/>
        <family val="2"/>
      </rPr>
      <t xml:space="preserve">추진 배경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필요성</t>
    </r>
  </si>
  <si>
    <r>
      <rPr>
        <sz val="10"/>
        <rFont val="Noto Sans CJK SC"/>
        <family val="2"/>
      </rPr>
      <t xml:space="preserve">지역 현황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수요 근거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</si>
  <si>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년 운영 실적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지역 통계 인용</t>
    </r>
  </si>
  <si>
    <r>
      <rPr>
        <sz val="10"/>
        <rFont val="Noto Sans CJK SC"/>
        <family val="2"/>
      </rPr>
      <t xml:space="preserve">추진 체계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</si>
  <si>
    <r>
      <rPr>
        <sz val="10"/>
        <rFont val="Noto Sans CJK SC"/>
        <family val="2"/>
      </rPr>
      <t xml:space="preserve">조직도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월별 일정</t>
    </r>
  </si>
  <si>
    <r>
      <rPr>
        <sz val="10"/>
        <rFont val="Noto Sans CJK SC"/>
        <family val="2"/>
      </rPr>
      <t xml:space="preserve">예술인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명 네트워크 조직도</t>
    </r>
  </si>
  <si>
    <t xml:space="preserve">예산 적정성</t>
  </si>
  <si>
    <t xml:space="preserve">산출근거의 타당성</t>
  </si>
  <si>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수량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횟수 전면 적용</t>
    </r>
  </si>
  <si>
    <t xml:space="preserve">사업 개요</t>
  </si>
  <si>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규모</t>
    </r>
  </si>
  <si>
    <t xml:space="preserve">한 장 요약 도식</t>
  </si>
  <si>
    <t xml:space="preserve">합계</t>
  </si>
  <si>
    <r>
      <rPr>
        <i val="true"/>
        <sz val="9"/>
        <color rgb="FF666666"/>
        <rFont val="Arial"/>
        <family val="0"/>
        <charset val="1"/>
      </rPr>
      <t xml:space="preserve">100</t>
    </r>
    <r>
      <rPr>
        <i val="true"/>
        <sz val="9"/>
        <color rgb="FF666666"/>
        <rFont val="Noto Sans CJK SC"/>
        <family val="2"/>
      </rPr>
      <t xml:space="preserve">점이 되는지 확인하세요</t>
    </r>
  </si>
  <si>
    <t xml:space="preserve">총 쪽수</t>
  </si>
  <si>
    <r>
      <rPr>
        <i val="true"/>
        <sz val="9"/>
        <color rgb="FF666666"/>
        <rFont val="Noto Sans CJK SC"/>
        <family val="2"/>
      </rPr>
      <t xml:space="preserve">공고가 정한 제출 분량을 적으세요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위 배정 쪽수가 자동으로 나뉩니다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</si>
  <si>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필수 과업  —  빠뜨리면 즉시 감점</t>
  </si>
  <si>
    <t xml:space="preserve">No</t>
  </si>
  <si>
    <t xml:space="preserve">필수 과업</t>
  </si>
  <si>
    <t xml:space="preserve">우리 계획</t>
  </si>
  <si>
    <t xml:space="preserve">충족</t>
  </si>
  <si>
    <t xml:space="preserve">근거 위치</t>
  </si>
  <si>
    <t xml:space="preserve">확인자</t>
  </si>
  <si>
    <r>
      <rPr>
        <sz val="10"/>
        <rFont val="Noto Sans CJK SC"/>
        <family val="2"/>
      </rPr>
      <t xml:space="preserve">교육 프로그램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회 이상 운영</t>
    </r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</si>
  <si>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× 20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= 40</t>
    </r>
    <r>
      <rPr>
        <sz val="10"/>
        <rFont val="Noto Sans CJK SC"/>
        <family val="2"/>
      </rPr>
      <t xml:space="preserve">회</t>
    </r>
  </si>
  <si>
    <t xml:space="preserve">O</t>
  </si>
  <si>
    <r>
      <rPr>
        <sz val="10"/>
        <rFont val="Noto Sans CJK SC"/>
        <family val="2"/>
      </rPr>
      <t xml:space="preserve">누적 참여 아동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명 이상</t>
    </r>
  </si>
  <si>
    <r>
      <rPr>
        <sz val="10"/>
        <rFont val="Noto Sans CJK SC"/>
        <family val="2"/>
      </rPr>
      <t xml:space="preserve">회차당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명 </t>
    </r>
    <r>
      <rPr>
        <sz val="10"/>
        <rFont val="Arial"/>
        <family val="0"/>
        <charset val="1"/>
      </rPr>
      <t xml:space="preserve">× 20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</si>
  <si>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성과 공유회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이상 개최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</si>
  <si>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마을축제와 통합</t>
    </r>
  </si>
  <si>
    <r>
      <rPr>
        <sz val="10"/>
        <rFont val="Noto Sans CJK SC"/>
        <family val="2"/>
      </rPr>
      <t xml:space="preserve">지역 예술인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명 이상 참여</t>
    </r>
  </si>
  <si>
    <r>
      <rPr>
        <sz val="10"/>
        <rFont val="Noto Sans CJK SC"/>
        <family val="2"/>
      </rPr>
      <t xml:space="preserve">강사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명 위촉 예정</t>
    </r>
  </si>
  <si>
    <r>
      <rPr>
        <b val="true"/>
        <sz val="12"/>
        <rFont val="Noto Sans CJK SC"/>
        <family val="2"/>
      </rPr>
      <t xml:space="preserve">반복 핵심어  —  공고문에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이상 나온 단어가 곧 채점 기준입니다</t>
    </r>
  </si>
  <si>
    <r>
      <rPr>
        <b val="true"/>
        <sz val="10"/>
        <rFont val="Noto Sans CJK SC"/>
        <family val="2"/>
      </rPr>
      <t xml:space="preserve">핵심어 </t>
    </r>
    <r>
      <rPr>
        <b val="true"/>
        <sz val="10"/>
        <rFont val="Arial"/>
        <family val="0"/>
        <charset val="1"/>
      </rPr>
      <t xml:space="preserve">1~3</t>
    </r>
  </si>
  <si>
    <r>
      <rPr>
        <sz val="10"/>
        <rFont val="Noto Sans CJK SC"/>
        <family val="2"/>
      </rPr>
      <t xml:space="preserve">지역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연계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지속가능성   →  모든 대분류 도입부에 넣습니다</t>
    </r>
  </si>
  <si>
    <r>
      <rPr>
        <b val="true"/>
        <sz val="12"/>
        <rFont val="Noto Sans CJK SC"/>
        <family val="2"/>
      </rPr>
      <t xml:space="preserve">확인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보완 필요  —  마감 전에 반드시 해결할 것</t>
    </r>
  </si>
  <si>
    <t xml:space="preserve">확인할 내용</t>
  </si>
  <si>
    <t xml:space="preserve">담당</t>
  </si>
  <si>
    <t xml:space="preserve">기한</t>
  </si>
  <si>
    <t xml:space="preserve">상태</t>
  </si>
  <si>
    <t xml:space="preserve">비고</t>
  </si>
  <si>
    <t xml:space="preserve">지역 아동 인구 통계 최신 자료 확보</t>
  </si>
  <si>
    <t xml:space="preserve">김담당</t>
  </si>
  <si>
    <t xml:space="preserve">2/5</t>
  </si>
  <si>
    <t xml:space="preserve">진행</t>
  </si>
  <si>
    <r>
      <rPr>
        <sz val="10"/>
        <rFont val="Noto Sans CJK SC"/>
        <family val="2"/>
      </rPr>
      <t xml:space="preserve">자부담 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천원 재원 확정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이사회</t>
    </r>
    <r>
      <rPr>
        <sz val="10"/>
        <rFont val="Arial"/>
        <family val="0"/>
        <charset val="1"/>
      </rPr>
      <t xml:space="preserve">)</t>
    </r>
  </si>
  <si>
    <t xml:space="preserve">이팀장</t>
  </si>
  <si>
    <t xml:space="preserve">2/10</t>
  </si>
  <si>
    <t xml:space="preserve">대기</t>
  </si>
  <si>
    <r>
      <rPr>
        <sz val="10"/>
        <rFont val="Noto Sans CJK SC"/>
        <family val="2"/>
      </rPr>
      <t xml:space="preserve">협력기관 </t>
    </r>
    <r>
      <rPr>
        <sz val="10"/>
        <rFont val="Arial"/>
        <family val="0"/>
        <charset val="1"/>
      </rPr>
      <t xml:space="preserve">MOU 2</t>
    </r>
    <r>
      <rPr>
        <sz val="10"/>
        <rFont val="Noto Sans CJK SC"/>
        <family val="2"/>
      </rPr>
      <t xml:space="preserve">건 마감 전 체결</t>
    </r>
  </si>
  <si>
    <t xml:space="preserve">2/15</t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</si>
  <si>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배점 합계가 </t>
    </r>
    <r>
      <rPr>
        <sz val="9"/>
        <color rgb="FFC00000"/>
        <rFont val="Arial"/>
        <family val="0"/>
        <charset val="1"/>
      </rPr>
      <t xml:space="preserve">100</t>
    </r>
    <r>
      <rPr>
        <sz val="9"/>
        <color rgb="FFC00000"/>
        <rFont val="Noto Sans CJK SC"/>
        <family val="2"/>
      </rPr>
      <t xml:space="preserve">인지</t>
    </r>
    <r>
      <rPr>
        <sz val="9"/>
        <color rgb="FFC00000"/>
        <rFont val="Arial"/>
        <family val="0"/>
        <charset val="1"/>
      </rPr>
      <t xml:space="preserve">, </t>
    </r>
    <r>
      <rPr>
        <sz val="9"/>
        <color rgb="FFC00000"/>
        <rFont val="Noto Sans CJK SC"/>
        <family val="2"/>
      </rPr>
      <t xml:space="preserve">배정 쪽수 합계가 총 쪽수와 맞는지 자동으로 확인됩니다</t>
    </r>
    <r>
      <rPr>
        <sz val="9"/>
        <color rgb="FFC00000"/>
        <rFont val="Arial"/>
        <family val="0"/>
        <charset val="1"/>
      </rPr>
      <t xml:space="preserve">.</t>
    </r>
  </si>
  <si>
    <t xml:space="preserve">② 목차 설계</t>
  </si>
  <si>
    <r>
      <rPr>
        <i val="true"/>
        <sz val="9"/>
        <color rgb="FF666666"/>
        <rFont val="Noto Sans CJK SC"/>
        <family val="2"/>
      </rPr>
      <t xml:space="preserve">목차를 창작하지 마세요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배점표를 옮겨 적는 것이 정석입니다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</si>
  <si>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대분류</t>
  </si>
  <si>
    <t xml:space="preserve">소분류 제목</t>
  </si>
  <si>
    <t xml:space="preserve">무엇을 쓰나</t>
  </si>
  <si>
    <t xml:space="preserve">대응 배점</t>
  </si>
  <si>
    <t xml:space="preserve">쪽수</t>
  </si>
  <si>
    <t xml:space="preserve">필수 요소</t>
  </si>
  <si>
    <t xml:space="preserve">Ⅰ</t>
  </si>
  <si>
    <r>
      <rPr>
        <sz val="10"/>
        <rFont val="Noto Sans CJK SC"/>
        <family val="2"/>
      </rPr>
      <t xml:space="preserve">사업명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총사업비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추진주체</t>
    </r>
  </si>
  <si>
    <r>
      <rPr>
        <sz val="10"/>
        <rFont val="Noto Sans CJK SC"/>
        <family val="2"/>
      </rPr>
      <t xml:space="preserve">도입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문장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근거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</si>
  <si>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사업 목적</t>
    </r>
  </si>
  <si>
    <t xml:space="preserve">왜 이 사업인가 — 한 문장</t>
  </si>
  <si>
    <t xml:space="preserve">핵심어 삽입</t>
  </si>
  <si>
    <t xml:space="preserve">Ⅱ</t>
  </si>
  <si>
    <r>
      <rPr>
        <sz val="10"/>
        <rFont val="Noto Sans CJK SC"/>
        <family val="2"/>
      </rPr>
      <t xml:space="preserve">지역 현황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문제 정의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수요조사</t>
    </r>
  </si>
  <si>
    <t xml:space="preserve">통계 인용 필수</t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</si>
  <si>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지역 현황 진단</t>
    </r>
  </si>
  <si>
    <r>
      <rPr>
        <sz val="10"/>
        <rFont val="Noto Sans CJK SC"/>
        <family val="2"/>
      </rPr>
      <t xml:space="preserve">아동 </t>
    </r>
    <r>
      <rPr>
        <sz val="10"/>
        <rFont val="Arial"/>
        <family val="0"/>
        <charset val="1"/>
      </rPr>
      <t xml:space="preserve">4,200</t>
    </r>
    <r>
      <rPr>
        <sz val="10"/>
        <rFont val="Noto Sans CJK SC"/>
        <family val="2"/>
      </rPr>
      <t xml:space="preserve">명 중 참여 경험 </t>
    </r>
    <r>
      <rPr>
        <sz val="10"/>
        <rFont val="Arial"/>
        <family val="0"/>
        <charset val="1"/>
      </rPr>
      <t xml:space="preserve">18%</t>
    </r>
  </si>
  <si>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연도 명기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</si>
  <si>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정책 부합성</t>
    </r>
  </si>
  <si>
    <t xml:space="preserve">상위 계획 문구 인용</t>
  </si>
  <si>
    <t xml:space="preserve">공고 핵심어</t>
  </si>
  <si>
    <t xml:space="preserve">Ⅲ</t>
  </si>
  <si>
    <r>
      <rPr>
        <sz val="10"/>
        <rFont val="Noto Sans CJK SC"/>
        <family val="2"/>
      </rPr>
      <t xml:space="preserve">핵심 추진사항 </t>
    </r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세부 프로그램</t>
    </r>
  </si>
  <si>
    <r>
      <rPr>
        <sz val="10"/>
        <rFont val="Noto Sans CJK SC"/>
        <family val="2"/>
      </rPr>
      <t xml:space="preserve">도식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</si>
  <si>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·20</t>
    </r>
    <r>
      <rPr>
        <sz val="10"/>
        <rFont val="Noto Sans CJK SC"/>
        <family val="2"/>
      </rPr>
      <t xml:space="preserve">주 교육과정 운영</t>
    </r>
  </si>
  <si>
    <r>
      <rPr>
        <sz val="10"/>
        <rFont val="Noto Sans CJK SC"/>
        <family val="2"/>
      </rPr>
      <t xml:space="preserve">회차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강사</t>
    </r>
  </si>
  <si>
    <t xml:space="preserve">숫자를 제목에</t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</si>
  <si>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지역 예술인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명 연계</t>
    </r>
  </si>
  <si>
    <r>
      <rPr>
        <sz val="10"/>
        <rFont val="Noto Sans CJK SC"/>
        <family val="2"/>
      </rPr>
      <t xml:space="preserve">위촉 방식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</si>
  <si>
    <t xml:space="preserve">차별성 근거</t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</si>
  <si>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성과 공유회 개최</t>
    </r>
  </si>
  <si>
    <t xml:space="preserve">마을축제 통합 운영</t>
  </si>
  <si>
    <t xml:space="preserve">확산 가능성</t>
  </si>
  <si>
    <t xml:space="preserve">Ⅳ</t>
  </si>
  <si>
    <r>
      <rPr>
        <sz val="10"/>
        <rFont val="Noto Sans CJK SC"/>
        <family val="2"/>
      </rPr>
      <t xml:space="preserve">조직도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역할분담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월별 일정</t>
    </r>
  </si>
  <si>
    <r>
      <rPr>
        <sz val="10"/>
        <rFont val="Noto Sans CJK SC"/>
        <family val="2"/>
      </rPr>
      <t xml:space="preserve">조직도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간트표</t>
    </r>
  </si>
  <si>
    <t xml:space="preserve">Ⅴ</t>
  </si>
  <si>
    <r>
      <rPr>
        <sz val="10"/>
        <rFont val="Noto Sans CJK SC"/>
        <family val="2"/>
      </rPr>
      <t xml:space="preserve">예산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기대효과</t>
    </r>
  </si>
  <si>
    <r>
      <rPr>
        <sz val="10"/>
        <rFont val="Noto Sans CJK SC"/>
        <family val="2"/>
      </rPr>
      <t xml:space="preserve">예산 총괄표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산출근거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성과지표</t>
    </r>
  </si>
  <si>
    <r>
      <rPr>
        <sz val="10"/>
        <rFont val="Noto Sans CJK SC"/>
        <family val="2"/>
      </rPr>
      <t xml:space="preserve">총괄표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산출근거</t>
    </r>
  </si>
  <si>
    <r>
      <rPr>
        <i val="true"/>
        <sz val="9"/>
        <color rgb="FF666666"/>
        <rFont val="Noto Sans CJK SC"/>
        <family val="2"/>
      </rPr>
      <t xml:space="preserve">배점 </t>
    </r>
    <r>
      <rPr>
        <i val="true"/>
        <sz val="9"/>
        <color rgb="FF666666"/>
        <rFont val="Arial"/>
        <family val="0"/>
        <charset val="1"/>
      </rPr>
      <t xml:space="preserve">100 · </t>
    </r>
    <r>
      <rPr>
        <i val="true"/>
        <sz val="9"/>
        <color rgb="FF666666"/>
        <rFont val="Noto Sans CJK SC"/>
        <family val="2"/>
      </rPr>
      <t xml:space="preserve">쪽수는 공고 제한 이내인지 확인</t>
    </r>
  </si>
  <si>
    <t xml:space="preserve">좋은 소제목의 조건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</si>
  <si>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명사형으로 끝낸다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</si>
  <si>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숫자를 하나 넣는다   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· 20</t>
    </r>
    <r>
      <rPr>
        <sz val="10"/>
        <rFont val="Noto Sans CJK SC"/>
        <family val="2"/>
      </rPr>
      <t xml:space="preserve">주 교육과정 운영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</si>
  <si>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평가요소 단어를 그대로 쓴다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</si>
  <si>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한 줄을 넘기지 않는다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</si>
  <si>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배점 합계와 쪽수 합계가 아래에 자동으로 나옵니다</t>
    </r>
    <r>
      <rPr>
        <sz val="9"/>
        <color rgb="FFC00000"/>
        <rFont val="Arial"/>
        <family val="0"/>
        <charset val="1"/>
      </rPr>
      <t xml:space="preserve">.</t>
    </r>
  </si>
  <si>
    <t xml:space="preserve">③ 예산 총괄표</t>
  </si>
  <si>
    <r>
      <rPr>
        <i val="true"/>
        <sz val="9"/>
        <color rgb="FF666666"/>
        <rFont val="Noto Sans CJK SC"/>
        <family val="2"/>
      </rPr>
      <t xml:space="preserve">예산은 금액이 아니라 근거로 심사받습니다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단가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수량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횟수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</si>
  <si>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총사업비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천원</t>
    </r>
    <r>
      <rPr>
        <b val="true"/>
        <sz val="10"/>
        <rFont val="Arial"/>
        <family val="0"/>
        <charset val="1"/>
      </rPr>
      <t xml:space="preserve">)</t>
    </r>
  </si>
  <si>
    <t xml:space="preserve">← 공고가 정한 금액</t>
  </si>
  <si>
    <t xml:space="preserve">비목</t>
  </si>
  <si>
    <t xml:space="preserve">세부 항목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</si>
  <si>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천원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</si>
  <si>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수량</t>
  </si>
  <si>
    <t xml:space="preserve">횟수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</si>
  <si>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천원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</si>
  <si>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산출근거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출처</t>
    </r>
  </si>
  <si>
    <t xml:space="preserve">강사비</t>
  </si>
  <si>
    <t xml:space="preserve">교육 강사</t>
  </si>
  <si>
    <r>
      <rPr>
        <sz val="10"/>
        <rFont val="Noto Sans CJK SC"/>
        <family val="2"/>
      </rPr>
      <t xml:space="preserve">○○시 강사비 지급기준 </t>
    </r>
    <r>
      <rPr>
        <sz val="10"/>
        <rFont val="Arial"/>
        <family val="0"/>
        <charset val="1"/>
      </rPr>
      <t xml:space="preserve">2026</t>
    </r>
  </si>
  <si>
    <t xml:space="preserve">재료비</t>
  </si>
  <si>
    <t xml:space="preserve">교육 재료</t>
  </si>
  <si>
    <r>
      <rPr>
        <sz val="10"/>
        <rFont val="Noto Sans CJK SC"/>
        <family val="2"/>
      </rPr>
      <t xml:space="preserve">업체 견적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곳 평균</t>
    </r>
  </si>
  <si>
    <t xml:space="preserve">운영인건비</t>
  </si>
  <si>
    <r>
      <rPr>
        <sz val="10"/>
        <rFont val="Noto Sans CJK SC"/>
        <family val="2"/>
      </rPr>
      <t xml:space="preserve">담당자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</si>
  <si>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기관 급여규정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)</t>
    </r>
  </si>
  <si>
    <t xml:space="preserve">홍보비</t>
  </si>
  <si>
    <t xml:space="preserve">리플릿 인쇄</t>
  </si>
  <si>
    <t xml:space="preserve">인쇄소 견적서</t>
  </si>
  <si>
    <t xml:space="preserve">온라인 광고</t>
  </si>
  <si>
    <t xml:space="preserve">플랫폼 공시 단가</t>
  </si>
  <si>
    <t xml:space="preserve">기타 운영비</t>
  </si>
  <si>
    <r>
      <rPr>
        <sz val="10"/>
        <rFont val="Noto Sans CJK SC"/>
        <family val="2"/>
      </rPr>
      <t xml:space="preserve">임차료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보험료</t>
    </r>
  </si>
  <si>
    <t xml:space="preserve">임대차 계약서</t>
  </si>
  <si>
    <r>
      <rPr>
        <b val="true"/>
        <sz val="12"/>
        <rFont val="Noto Sans CJK SC"/>
        <family val="2"/>
      </rPr>
      <t xml:space="preserve">검산 </t>
    </r>
    <r>
      <rPr>
        <b val="true"/>
        <sz val="12"/>
        <rFont val="Arial"/>
        <family val="0"/>
        <charset val="1"/>
      </rPr>
      <t xml:space="preserve">4</t>
    </r>
    <r>
      <rPr>
        <b val="true"/>
        <sz val="12"/>
        <rFont val="Noto Sans CJK SC"/>
        <family val="2"/>
      </rPr>
      <t xml:space="preserve">단계  —  자동으로 확인됩니다</t>
    </r>
  </si>
  <si>
    <r>
      <rPr>
        <sz val="10"/>
        <rFont val="Noto Sans CJK SC"/>
        <family val="2"/>
      </rPr>
      <t xml:space="preserve">① 합계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총사업비인가</t>
    </r>
  </si>
  <si>
    <r>
      <rPr>
        <sz val="10"/>
        <rFont val="Noto Sans CJK SC"/>
        <family val="2"/>
      </rPr>
      <t xml:space="preserve">② 인건비 비중이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를 넘지 않는가</t>
    </r>
  </si>
  <si>
    <t xml:space="preserve">③ 산출근거가 비어 있는 행이 있는가</t>
  </si>
  <si>
    <t xml:space="preserve">④ 본문 사업 내용에 없는 항목이 섞이지 않았는가</t>
  </si>
  <si>
    <t xml:space="preserve">직접 확인</t>
  </si>
  <si>
    <r>
      <rPr>
        <b val="true"/>
        <sz val="12"/>
        <rFont val="Noto Sans CJK SC"/>
        <family val="2"/>
      </rPr>
      <t xml:space="preserve">감액되는 예산 </t>
    </r>
    <r>
      <rPr>
        <b val="true"/>
        <sz val="12"/>
        <rFont val="Arial"/>
        <family val="0"/>
        <charset val="1"/>
      </rPr>
      <t xml:space="preserve">7</t>
    </r>
    <r>
      <rPr>
        <b val="true"/>
        <sz val="12"/>
        <rFont val="Noto Sans CJK SC"/>
        <family val="2"/>
      </rPr>
      <t xml:space="preserve">가지  —  심사에서 가장 먼저 칼이 들어오는 곳</t>
    </r>
  </si>
  <si>
    <r>
      <rPr>
        <sz val="10"/>
        <rFont val="Arial"/>
        <family val="0"/>
        <charset val="1"/>
      </rPr>
      <t xml:space="preserve">1.  </t>
    </r>
    <r>
      <rPr>
        <sz val="10"/>
        <rFont val="Noto Sans CJK SC"/>
        <family val="2"/>
      </rPr>
      <t xml:space="preserve">뭉뚱그린 총액  ― 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운영비 일체 </t>
    </r>
    <r>
      <rPr>
        <sz val="10"/>
        <rFont val="Arial"/>
        <family val="0"/>
        <charset val="1"/>
      </rPr>
      <t xml:space="preserve">8,000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처럼 내역이 없는 항목</t>
    </r>
  </si>
  <si>
    <r>
      <rPr>
        <sz val="10"/>
        <rFont val="Arial"/>
        <family val="0"/>
        <charset val="1"/>
      </rPr>
      <t xml:space="preserve">2.  </t>
    </r>
    <r>
      <rPr>
        <sz val="10"/>
        <rFont val="Noto Sans CJK SC"/>
        <family val="2"/>
      </rPr>
      <t xml:space="preserve">과도한 인건비 비중  ―  총사업비의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를 넘으면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사람 쓰는 사업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읽힘</t>
    </r>
  </si>
  <si>
    <r>
      <rPr>
        <sz val="10"/>
        <rFont val="Arial"/>
        <family val="0"/>
        <charset val="1"/>
      </rPr>
      <t xml:space="preserve">3.  </t>
    </r>
    <r>
      <rPr>
        <sz val="10"/>
        <rFont val="Noto Sans CJK SC"/>
        <family val="2"/>
      </rPr>
      <t xml:space="preserve">본문에 없는 항목  ―  사업 내용에 없던 장비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행사가 예산에만 등장</t>
    </r>
  </si>
  <si>
    <r>
      <rPr>
        <sz val="10"/>
        <rFont val="Arial"/>
        <family val="0"/>
        <charset val="1"/>
      </rPr>
      <t xml:space="preserve">4.  </t>
    </r>
    <r>
      <rPr>
        <sz val="10"/>
        <rFont val="Noto Sans CJK SC"/>
        <family val="2"/>
      </rPr>
      <t xml:space="preserve">시세와 다른 단가  ―  근거 없이 높게 잡은 강사비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임차료</t>
    </r>
  </si>
  <si>
    <r>
      <rPr>
        <sz val="10"/>
        <rFont val="Arial"/>
        <family val="0"/>
        <charset val="1"/>
      </rPr>
      <t xml:space="preserve">5.  </t>
    </r>
    <r>
      <rPr>
        <sz val="10"/>
        <rFont val="Noto Sans CJK SC"/>
        <family val="2"/>
      </rPr>
      <t xml:space="preserve">끝자리 맞춘 흔적  ―  총액에 맞추려 억지로 조정한 티가 나는 숫자</t>
    </r>
  </si>
  <si>
    <r>
      <rPr>
        <sz val="10"/>
        <rFont val="Arial"/>
        <family val="0"/>
        <charset val="1"/>
      </rPr>
      <t xml:space="preserve">6.  </t>
    </r>
    <r>
      <rPr>
        <sz val="10"/>
        <rFont val="Noto Sans CJK SC"/>
        <family val="2"/>
      </rPr>
      <t xml:space="preserve">집행 불가 비목  ―  자산 취득비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순수 식비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상품권 등 지침 위반</t>
    </r>
  </si>
  <si>
    <r>
      <rPr>
        <sz val="10"/>
        <rFont val="Arial"/>
        <family val="0"/>
        <charset val="1"/>
      </rPr>
      <t xml:space="preserve">7.  </t>
    </r>
    <r>
      <rPr>
        <sz val="10"/>
        <rFont val="Noto Sans CJK SC"/>
        <family val="2"/>
      </rPr>
      <t xml:space="preserve">자부담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  ―  자부담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현물이 없으면 실행 의지가 낮게 평가됨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</si>
  <si>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금액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비율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합계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검산은 자동입니다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단가와 수량</t>
    </r>
    <r>
      <rPr>
        <sz val="9"/>
        <color rgb="FFC00000"/>
        <rFont val="Arial"/>
        <family val="0"/>
        <charset val="1"/>
      </rPr>
      <t xml:space="preserve">, </t>
    </r>
    <r>
      <rPr>
        <sz val="9"/>
        <color rgb="FFC00000"/>
        <rFont val="Noto Sans CJK SC"/>
        <family val="2"/>
      </rPr>
      <t xml:space="preserve">산출근거만 채우세요</t>
    </r>
    <r>
      <rPr>
        <sz val="9"/>
        <color rgb="FFC00000"/>
        <rFont val="Arial"/>
        <family val="0"/>
        <charset val="1"/>
      </rPr>
      <t xml:space="preserve">.</t>
    </r>
  </si>
  <si>
    <t xml:space="preserve">④ 성과지표표</t>
  </si>
  <si>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열심히 하겠다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가 아니라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숫자로 약속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하는 자리입니다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</si>
  <si>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구분</t>
  </si>
  <si>
    <t xml:space="preserve">성과지표</t>
  </si>
  <si>
    <t xml:space="preserve">산출 방식</t>
  </si>
  <si>
    <t xml:space="preserve">목표치</t>
  </si>
  <si>
    <t xml:space="preserve">측정 시기</t>
  </si>
  <si>
    <r>
      <rPr>
        <sz val="10"/>
        <rFont val="Noto Sans CJK SC"/>
        <family val="2"/>
      </rPr>
      <t xml:space="preserve">산출</t>
    </r>
    <r>
      <rPr>
        <sz val="10"/>
        <rFont val="Arial"/>
        <family val="0"/>
        <charset val="1"/>
      </rPr>
      <t xml:space="preserve">(Output)</t>
    </r>
  </si>
  <si>
    <t xml:space="preserve">교육 프로그램 운영 횟수</t>
  </si>
  <si>
    <t xml:space="preserve">운영일지 집계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</si>
  <si>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회</t>
    </r>
  </si>
  <si>
    <t xml:space="preserve">매월</t>
  </si>
  <si>
    <t xml:space="preserve">운영팀</t>
  </si>
  <si>
    <t xml:space="preserve">누적 참여 인원</t>
  </si>
  <si>
    <r>
      <rPr>
        <sz val="10"/>
        <rFont val="Noto Sans CJK SC"/>
        <family val="2"/>
      </rPr>
      <t xml:space="preserve">출석부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신청 시스템</t>
    </r>
  </si>
  <si>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</si>
  <si>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성과</t>
    </r>
    <r>
      <rPr>
        <sz val="10"/>
        <rFont val="Arial"/>
        <family val="0"/>
        <charset val="1"/>
      </rPr>
      <t xml:space="preserve">(Outcome)</t>
    </r>
  </si>
  <si>
    <t xml:space="preserve">참여자 만족도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</si>
  <si>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점 척도 설문</t>
    </r>
  </si>
  <si>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점 이상</t>
    </r>
  </si>
  <si>
    <t xml:space="preserve">종료 후</t>
  </si>
  <si>
    <t xml:space="preserve">평가담당</t>
  </si>
  <si>
    <t xml:space="preserve">재참여 의향률</t>
  </si>
  <si>
    <t xml:space="preserve">설문 문항</t>
  </si>
  <si>
    <r>
      <rPr>
        <sz val="10"/>
        <rFont val="Arial"/>
        <family val="0"/>
        <charset val="1"/>
      </rPr>
      <t xml:space="preserve">80% </t>
    </r>
    <r>
      <rPr>
        <sz val="10"/>
        <rFont val="Noto Sans CJK SC"/>
        <family val="2"/>
      </rPr>
      <t xml:space="preserve">이상</t>
    </r>
  </si>
  <si>
    <r>
      <rPr>
        <sz val="10"/>
        <rFont val="Noto Sans CJK SC"/>
        <family val="2"/>
      </rPr>
      <t xml:space="preserve">파급</t>
    </r>
    <r>
      <rPr>
        <sz val="10"/>
        <rFont val="Arial"/>
        <family val="0"/>
        <charset val="1"/>
      </rPr>
      <t xml:space="preserve">(Impact)</t>
    </r>
  </si>
  <si>
    <t xml:space="preserve">지역 예술인 일자리 창출</t>
  </si>
  <si>
    <t xml:space="preserve">위촉 계약 건수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</si>
  <si>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</si>
  <si>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</si>
  <si>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사업총괄</t>
  </si>
  <si>
    <t xml:space="preserve">협력기관 신규 연계</t>
  </si>
  <si>
    <r>
      <rPr>
        <sz val="10"/>
        <rFont val="Arial"/>
        <family val="0"/>
        <charset val="1"/>
      </rPr>
      <t xml:space="preserve">MOU </t>
    </r>
    <r>
      <rPr>
        <sz val="10"/>
        <rFont val="Noto Sans CJK SC"/>
        <family val="2"/>
      </rPr>
      <t xml:space="preserve">체결 건수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</si>
  <si>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</t>
    </r>
  </si>
  <si>
    <t xml:space="preserve">층별 개수</t>
  </si>
  <si>
    <r>
      <rPr>
        <b val="true"/>
        <sz val="12"/>
        <rFont val="Noto Sans CJK SC"/>
        <family val="2"/>
      </rPr>
      <t xml:space="preserve">지표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층 구조  —  세 층이 다 있으면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설계된 사업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으로 보입니다</t>
    </r>
  </si>
  <si>
    <r>
      <rPr>
        <b val="true"/>
        <sz val="10"/>
        <rFont val="Noto Sans CJK SC"/>
        <family val="2"/>
      </rPr>
      <t xml:space="preserve">산출 </t>
    </r>
    <r>
      <rPr>
        <b val="true"/>
        <sz val="10"/>
        <rFont val="Arial"/>
        <family val="0"/>
        <charset val="1"/>
      </rPr>
      <t xml:space="preserve">(Output)</t>
    </r>
  </si>
  <si>
    <t xml:space="preserve">우리가 한 일의 양</t>
  </si>
  <si>
    <r>
      <rPr>
        <i val="true"/>
        <sz val="9"/>
        <color rgb="FF666666"/>
        <rFont val="Noto Sans CJK SC"/>
        <family val="2"/>
      </rPr>
      <t xml:space="preserve">횟수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인원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건수처럼 세면 나오는 것</t>
    </r>
  </si>
  <si>
    <r>
      <rPr>
        <b val="true"/>
        <sz val="10"/>
        <rFont val="Noto Sans CJK SC"/>
        <family val="2"/>
      </rPr>
      <t xml:space="preserve">성과 </t>
    </r>
    <r>
      <rPr>
        <b val="true"/>
        <sz val="10"/>
        <rFont val="Arial"/>
        <family val="0"/>
        <charset val="1"/>
      </rPr>
      <t xml:space="preserve">(Outcome)</t>
    </r>
  </si>
  <si>
    <t xml:space="preserve">참여자에게 생긴 변화</t>
  </si>
  <si>
    <r>
      <rPr>
        <i val="true"/>
        <sz val="9"/>
        <color rgb="FF666666"/>
        <rFont val="Noto Sans CJK SC"/>
        <family val="2"/>
      </rPr>
      <t xml:space="preserve">만족도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인식 변화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재참여 의향</t>
    </r>
  </si>
  <si>
    <r>
      <rPr>
        <b val="true"/>
        <sz val="10"/>
        <rFont val="Noto Sans CJK SC"/>
        <family val="2"/>
      </rPr>
      <t xml:space="preserve">파급 </t>
    </r>
    <r>
      <rPr>
        <b val="true"/>
        <sz val="10"/>
        <rFont val="Arial"/>
        <family val="0"/>
        <charset val="1"/>
      </rPr>
      <t xml:space="preserve">(Impact)</t>
    </r>
  </si>
  <si>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사회로의 확산</t>
    </r>
  </si>
  <si>
    <r>
      <rPr>
        <i val="true"/>
        <sz val="9"/>
        <color rgb="FF666666"/>
        <rFont val="Noto Sans CJK SC"/>
        <family val="2"/>
      </rPr>
      <t xml:space="preserve">일자리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협력망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후속 사업</t>
    </r>
  </si>
  <si>
    <r>
      <rPr>
        <b val="true"/>
        <sz val="10"/>
        <color rgb="FFC00000"/>
        <rFont val="Noto Sans CJK SC"/>
        <family val="2"/>
      </rPr>
      <t xml:space="preserve">피해야 할 지표   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만족도 향상</t>
    </r>
    <r>
      <rPr>
        <b val="true"/>
        <sz val="10"/>
        <color rgb="FFC00000"/>
        <rFont val="Arial"/>
        <family val="0"/>
        <charset val="1"/>
      </rPr>
      <t xml:space="preserve">' · '</t>
    </r>
    <r>
      <rPr>
        <b val="true"/>
        <sz val="10"/>
        <color rgb="FFC00000"/>
        <rFont val="Noto Sans CJK SC"/>
        <family val="2"/>
      </rPr>
      <t xml:space="preserve">역량 강화</t>
    </r>
    <r>
      <rPr>
        <b val="true"/>
        <sz val="10"/>
        <color rgb="FFC00000"/>
        <rFont val="Arial"/>
        <family val="0"/>
        <charset val="1"/>
      </rPr>
      <t xml:space="preserve">' · '</t>
    </r>
    <r>
      <rPr>
        <b val="true"/>
        <sz val="10"/>
        <color rgb="FFC00000"/>
        <rFont val="Noto Sans CJK SC"/>
        <family val="2"/>
      </rPr>
      <t xml:space="preserve">인식 개선</t>
    </r>
    <r>
      <rPr>
        <b val="true"/>
        <sz val="10"/>
        <color rgb="FFC00000"/>
        <rFont val="Arial"/>
        <family val="0"/>
        <charset val="1"/>
      </rPr>
      <t xml:space="preserve">'  ―  </t>
    </r>
    <r>
      <rPr>
        <b val="true"/>
        <sz val="10"/>
        <color rgb="FFC00000"/>
        <rFont val="Noto Sans CJK SC"/>
        <family val="2"/>
      </rPr>
      <t xml:space="preserve">측정 방법과 목표 숫자가 없으면 지표가 아닙니다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</si>
  <si>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세 층이 모두 있는지 자동으로 확인됩니다</t>
    </r>
    <r>
      <rPr>
        <sz val="9"/>
        <color rgb="FFC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</si>
</sst>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4472C4"/>
        <bgColor rgb="FF66666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9.5" hidden="false" customHeight="true" outlineLevel="0" collapsed="false">
      <c r="A6" s="4" t="s">
        <v>5</v>
      </c>
      <c r="B6" s="6" t="s">
        <v>6</v>
      </c>
      <c r="C6" s="6"/>
      <c r="D6" s="6"/>
      <c r="E6" s="6"/>
      <c r="F6" s="6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19.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19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19.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1" customFormat="false" ht="19.5" hidden="false" customHeight="true" outlineLevel="0" collapsed="false">
      <c r="A11" s="4" t="s">
        <v>15</v>
      </c>
      <c r="B11" s="6" t="s">
        <v>16</v>
      </c>
      <c r="C11" s="6"/>
      <c r="D11" s="6"/>
      <c r="E11" s="6"/>
      <c r="F11" s="6"/>
    </row>
    <row r="12" customFormat="false" ht="19.5" hidden="false" customHeight="true" outlineLevel="0" collapsed="false">
      <c r="A12" s="4" t="s">
        <v>17</v>
      </c>
      <c r="B12" s="6" t="s">
        <v>18</v>
      </c>
      <c r="C12" s="6"/>
      <c r="D12" s="6"/>
      <c r="E12" s="6"/>
      <c r="F12" s="6"/>
    </row>
    <row r="14" customFormat="false" ht="24" hidden="false" customHeight="true" outlineLevel="0" collapsed="false">
      <c r="A14" s="3" t="s">
        <v>19</v>
      </c>
      <c r="B14" s="3"/>
      <c r="C14" s="3"/>
      <c r="D14" s="3"/>
      <c r="E14" s="3"/>
      <c r="F14" s="3"/>
    </row>
    <row r="15" customFormat="false" ht="25.5" hidden="false" customHeight="true" outlineLevel="0" collapsed="false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  <c r="F15" s="7" t="s">
        <v>25</v>
      </c>
    </row>
    <row r="16" customFormat="false" ht="30" hidden="false" customHeight="true" outlineLevel="0" collapsed="false">
      <c r="A16" s="8" t="s">
        <v>26</v>
      </c>
      <c r="B16" s="8" t="s">
        <v>27</v>
      </c>
      <c r="C16" s="8" t="s">
        <v>28</v>
      </c>
      <c r="D16" s="9" t="n">
        <v>30</v>
      </c>
      <c r="E16" s="10" t="n">
        <f aca="false">IF($D$21=0,"",D16/$D$21)</f>
        <v>0.3</v>
      </c>
      <c r="F16" s="9" t="n">
        <f aca="false">IF($D$21=0,"",ROUND(D16/$D$21*$F$22,1))</f>
        <v>5.4</v>
      </c>
    </row>
    <row r="17" customFormat="false" ht="30" hidden="false" customHeight="true" outlineLevel="0" collapsed="false">
      <c r="A17" s="8" t="s">
        <v>29</v>
      </c>
      <c r="B17" s="8" t="s">
        <v>30</v>
      </c>
      <c r="C17" s="11" t="s">
        <v>31</v>
      </c>
      <c r="D17" s="9" t="n">
        <v>25</v>
      </c>
      <c r="E17" s="10" t="n">
        <f aca="false">IF($D$21=0,"",D17/$D$21)</f>
        <v>0.25</v>
      </c>
      <c r="F17" s="9" t="n">
        <f aca="false">IF($D$21=0,"",ROUND(D17/$D$21*$F$22,1))</f>
        <v>4.5</v>
      </c>
    </row>
    <row r="18" customFormat="false" ht="30" hidden="false" customHeight="true" outlineLevel="0" collapsed="false">
      <c r="A18" s="8" t="s">
        <v>32</v>
      </c>
      <c r="B18" s="8" t="s">
        <v>33</v>
      </c>
      <c r="C18" s="8" t="s">
        <v>34</v>
      </c>
      <c r="D18" s="9" t="n">
        <v>20</v>
      </c>
      <c r="E18" s="10" t="n">
        <f aca="false">IF($D$21=0,"",D18/$D$21)</f>
        <v>0.2</v>
      </c>
      <c r="F18" s="9" t="n">
        <f aca="false">IF($D$21=0,"",ROUND(D18/$D$21*$F$22,1))</f>
        <v>3.6</v>
      </c>
    </row>
    <row r="19" customFormat="false" ht="30" hidden="false" customHeight="true" outlineLevel="0" collapsed="false">
      <c r="A19" s="8" t="s">
        <v>35</v>
      </c>
      <c r="B19" s="8" t="s">
        <v>36</v>
      </c>
      <c r="C19" s="8" t="s">
        <v>37</v>
      </c>
      <c r="D19" s="9" t="n">
        <v>15</v>
      </c>
      <c r="E19" s="10" t="n">
        <f aca="false">IF($D$21=0,"",D19/$D$21)</f>
        <v>0.15</v>
      </c>
      <c r="F19" s="9" t="n">
        <f aca="false">IF($D$21=0,"",ROUND(D19/$D$21*$F$22,1))</f>
        <v>2.7</v>
      </c>
    </row>
    <row r="20" customFormat="false" ht="30" hidden="false" customHeight="true" outlineLevel="0" collapsed="false">
      <c r="A20" s="8" t="s">
        <v>38</v>
      </c>
      <c r="B20" s="8" t="s">
        <v>39</v>
      </c>
      <c r="C20" s="8" t="s">
        <v>40</v>
      </c>
      <c r="D20" s="9" t="n">
        <v>10</v>
      </c>
      <c r="E20" s="10" t="n">
        <f aca="false">IF($D$21=0,"",D20/$D$21)</f>
        <v>0.1</v>
      </c>
      <c r="F20" s="9" t="n">
        <f aca="false">IF($D$21=0,"",ROUND(D20/$D$21*$F$22,1))</f>
        <v>1.8</v>
      </c>
    </row>
    <row r="21" customFormat="false" ht="15" hidden="false" customHeight="true" outlineLevel="0" collapsed="false">
      <c r="A21" s="12" t="s">
        <v>41</v>
      </c>
      <c r="B21" s="13" t="s">
        <v>42</v>
      </c>
      <c r="C21" s="13"/>
      <c r="D21" s="12" t="n">
        <f aca="false">SUM(D16:D20)</f>
        <v>100</v>
      </c>
      <c r="E21" s="12" t="str">
        <f aca="false">IF(D21=100,"OK","100점 아님")</f>
        <v>OK</v>
      </c>
      <c r="F21" s="12" t="n">
        <f aca="false">SUM(F16:F20)</f>
        <v>18</v>
      </c>
    </row>
    <row r="22" customFormat="false" ht="15" hidden="false" customHeight="false" outlineLevel="0" collapsed="false">
      <c r="A22" s="14" t="s">
        <v>43</v>
      </c>
      <c r="B22" s="15" t="s">
        <v>44</v>
      </c>
      <c r="C22" s="15"/>
      <c r="D22" s="15"/>
      <c r="E22" s="15"/>
      <c r="F22" s="16" t="n">
        <v>18</v>
      </c>
    </row>
    <row r="24" customFormat="false" ht="24" hidden="false" customHeight="true" outlineLevel="0" collapsed="false">
      <c r="A24" s="3" t="s">
        <v>45</v>
      </c>
      <c r="B24" s="3"/>
      <c r="C24" s="3"/>
      <c r="D24" s="3"/>
      <c r="E24" s="3"/>
      <c r="F24" s="3"/>
    </row>
    <row r="25" customFormat="false" ht="25.5" hidden="false" customHeight="true" outlineLevel="0" collapsed="false">
      <c r="A25" s="17" t="s">
        <v>46</v>
      </c>
      <c r="B25" s="7" t="s">
        <v>47</v>
      </c>
      <c r="C25" s="7" t="s">
        <v>48</v>
      </c>
      <c r="D25" s="7" t="s">
        <v>49</v>
      </c>
      <c r="E25" s="7" t="s">
        <v>50</v>
      </c>
      <c r="F25" s="7" t="s">
        <v>51</v>
      </c>
    </row>
    <row r="26" customFormat="false" ht="24" hidden="false" customHeight="true" outlineLevel="0" collapsed="false">
      <c r="A26" s="9" t="n">
        <v>1</v>
      </c>
      <c r="B26" s="8" t="s">
        <v>52</v>
      </c>
      <c r="C26" s="8" t="s">
        <v>53</v>
      </c>
      <c r="D26" s="9" t="s">
        <v>54</v>
      </c>
      <c r="E26" s="18"/>
      <c r="F26" s="18"/>
    </row>
    <row r="27" customFormat="false" ht="24" hidden="false" customHeight="true" outlineLevel="0" collapsed="false">
      <c r="A27" s="9" t="n">
        <v>2</v>
      </c>
      <c r="B27" s="8" t="s">
        <v>55</v>
      </c>
      <c r="C27" s="8" t="s">
        <v>56</v>
      </c>
      <c r="D27" s="9" t="s">
        <v>54</v>
      </c>
      <c r="E27" s="18"/>
      <c r="F27" s="18"/>
    </row>
    <row r="28" customFormat="false" ht="24" hidden="false" customHeight="true" outlineLevel="0" collapsed="false">
      <c r="A28" s="9" t="n">
        <v>3</v>
      </c>
      <c r="B28" s="8" t="s">
        <v>57</v>
      </c>
      <c r="C28" s="11" t="s">
        <v>58</v>
      </c>
      <c r="D28" s="9" t="s">
        <v>54</v>
      </c>
      <c r="E28" s="18"/>
      <c r="F28" s="18"/>
    </row>
    <row r="29" customFormat="false" ht="24" hidden="false" customHeight="true" outlineLevel="0" collapsed="false">
      <c r="A29" s="9" t="n">
        <v>4</v>
      </c>
      <c r="B29" s="8" t="s">
        <v>59</v>
      </c>
      <c r="C29" s="8" t="s">
        <v>60</v>
      </c>
      <c r="D29" s="9" t="s">
        <v>54</v>
      </c>
      <c r="E29" s="18"/>
      <c r="F29" s="18"/>
    </row>
    <row r="30" customFormat="false" ht="24" hidden="false" customHeight="true" outlineLevel="0" collapsed="false">
      <c r="A30" s="9" t="n">
        <v>5</v>
      </c>
      <c r="B30" s="19"/>
      <c r="C30" s="19"/>
      <c r="D30" s="20"/>
      <c r="E30" s="18"/>
      <c r="F30" s="18"/>
    </row>
    <row r="31" customFormat="false" ht="24" hidden="false" customHeight="true" outlineLevel="0" collapsed="false">
      <c r="A31" s="9" t="n">
        <v>6</v>
      </c>
      <c r="B31" s="19"/>
      <c r="C31" s="19"/>
      <c r="D31" s="20"/>
      <c r="E31" s="18"/>
      <c r="F31" s="18"/>
    </row>
    <row r="33" customFormat="false" ht="24" hidden="false" customHeight="true" outlineLevel="0" collapsed="false">
      <c r="A33" s="3" t="s">
        <v>61</v>
      </c>
      <c r="B33" s="3"/>
      <c r="C33" s="3"/>
      <c r="D33" s="3"/>
      <c r="E33" s="3"/>
      <c r="F33" s="3"/>
    </row>
    <row r="34" customFormat="false" ht="24" hidden="false" customHeight="true" outlineLevel="0" collapsed="false">
      <c r="A34" s="21" t="s">
        <v>62</v>
      </c>
      <c r="B34" s="6" t="s">
        <v>63</v>
      </c>
      <c r="C34" s="6"/>
      <c r="D34" s="6"/>
      <c r="E34" s="6"/>
      <c r="F34" s="6"/>
    </row>
    <row r="36" customFormat="false" ht="24" hidden="false" customHeight="true" outlineLevel="0" collapsed="false">
      <c r="A36" s="3" t="s">
        <v>64</v>
      </c>
      <c r="B36" s="3"/>
      <c r="C36" s="3"/>
      <c r="D36" s="3"/>
      <c r="E36" s="3"/>
      <c r="F36" s="3"/>
    </row>
    <row r="37" customFormat="false" ht="25.5" hidden="false" customHeight="true" outlineLevel="0" collapsed="false">
      <c r="A37" s="17" t="s">
        <v>46</v>
      </c>
      <c r="B37" s="7" t="s">
        <v>65</v>
      </c>
      <c r="C37" s="7" t="s">
        <v>66</v>
      </c>
      <c r="D37" s="7" t="s">
        <v>67</v>
      </c>
      <c r="E37" s="7" t="s">
        <v>68</v>
      </c>
      <c r="F37" s="7" t="s">
        <v>69</v>
      </c>
    </row>
    <row r="38" customFormat="false" ht="21.75" hidden="false" customHeight="true" outlineLevel="0" collapsed="false">
      <c r="A38" s="9" t="n">
        <v>1</v>
      </c>
      <c r="B38" s="8" t="s">
        <v>70</v>
      </c>
      <c r="C38" s="22" t="s">
        <v>71</v>
      </c>
      <c r="D38" s="9" t="s">
        <v>72</v>
      </c>
      <c r="E38" s="22" t="s">
        <v>73</v>
      </c>
      <c r="F38" s="18"/>
    </row>
    <row r="39" customFormat="false" ht="21.75" hidden="false" customHeight="true" outlineLevel="0" collapsed="false">
      <c r="A39" s="9" t="n">
        <v>2</v>
      </c>
      <c r="B39" s="8" t="s">
        <v>74</v>
      </c>
      <c r="C39" s="22" t="s">
        <v>75</v>
      </c>
      <c r="D39" s="9" t="s">
        <v>76</v>
      </c>
      <c r="E39" s="22" t="s">
        <v>77</v>
      </c>
      <c r="F39" s="18"/>
    </row>
    <row r="40" customFormat="false" ht="21.75" hidden="false" customHeight="true" outlineLevel="0" collapsed="false">
      <c r="A40" s="9" t="n">
        <v>3</v>
      </c>
      <c r="B40" s="8" t="s">
        <v>78</v>
      </c>
      <c r="C40" s="22" t="s">
        <v>71</v>
      </c>
      <c r="D40" s="9" t="s">
        <v>79</v>
      </c>
      <c r="E40" s="22" t="s">
        <v>77</v>
      </c>
      <c r="F40" s="18"/>
    </row>
    <row r="41" customFormat="false" ht="21.75" hidden="false" customHeight="true" outlineLevel="0" collapsed="false">
      <c r="A41" s="9" t="n">
        <v>4</v>
      </c>
      <c r="B41" s="19"/>
      <c r="C41" s="20"/>
      <c r="D41" s="20"/>
      <c r="E41" s="20"/>
      <c r="F41" s="18"/>
    </row>
    <row r="42" customFormat="false" ht="21.75" hidden="false" customHeight="true" outlineLevel="0" collapsed="false">
      <c r="A42" s="9" t="n">
        <v>5</v>
      </c>
      <c r="B42" s="19"/>
      <c r="C42" s="20"/>
      <c r="D42" s="20"/>
      <c r="E42" s="20"/>
      <c r="F42" s="18"/>
    </row>
    <row r="44" customFormat="false" ht="14.15" hidden="false" customHeight="false" outlineLevel="0" collapsed="false">
      <c r="A44" s="23" t="s">
        <v>80</v>
      </c>
      <c r="B44" s="23"/>
      <c r="C44" s="23"/>
      <c r="D44" s="23"/>
      <c r="E44" s="23"/>
      <c r="F44" s="23"/>
    </row>
  </sheetData>
  <mergeCells count="19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21:C21"/>
    <mergeCell ref="B22:E22"/>
    <mergeCell ref="A24:F24"/>
    <mergeCell ref="A33:F33"/>
    <mergeCell ref="B34:F34"/>
    <mergeCell ref="A36:F36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81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82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7" t="s">
        <v>83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</row>
    <row r="5" customFormat="false" ht="24" hidden="false" customHeight="true" outlineLevel="0" collapsed="false">
      <c r="A5" s="9" t="s">
        <v>89</v>
      </c>
      <c r="B5" s="8" t="s">
        <v>38</v>
      </c>
      <c r="C5" s="8" t="s">
        <v>90</v>
      </c>
      <c r="D5" s="9" t="n">
        <v>10</v>
      </c>
      <c r="E5" s="9" t="n">
        <v>2</v>
      </c>
      <c r="F5" s="8" t="s">
        <v>91</v>
      </c>
    </row>
    <row r="6" customFormat="false" ht="24" hidden="false" customHeight="true" outlineLevel="0" collapsed="false">
      <c r="A6" s="9" t="s">
        <v>89</v>
      </c>
      <c r="B6" s="11" t="s">
        <v>92</v>
      </c>
      <c r="C6" s="8" t="s">
        <v>93</v>
      </c>
      <c r="D6" s="9"/>
      <c r="E6" s="9"/>
      <c r="F6" s="8" t="s">
        <v>94</v>
      </c>
    </row>
    <row r="7" customFormat="false" ht="24" hidden="false" customHeight="true" outlineLevel="0" collapsed="false">
      <c r="A7" s="9" t="s">
        <v>95</v>
      </c>
      <c r="B7" s="8" t="s">
        <v>29</v>
      </c>
      <c r="C7" s="8" t="s">
        <v>96</v>
      </c>
      <c r="D7" s="9" t="n">
        <v>25</v>
      </c>
      <c r="E7" s="9" t="n">
        <v>5</v>
      </c>
      <c r="F7" s="8" t="s">
        <v>97</v>
      </c>
    </row>
    <row r="8" customFormat="false" ht="24" hidden="false" customHeight="true" outlineLevel="0" collapsed="false">
      <c r="A8" s="9" t="s">
        <v>95</v>
      </c>
      <c r="B8" s="11" t="s">
        <v>98</v>
      </c>
      <c r="C8" s="8" t="s">
        <v>99</v>
      </c>
      <c r="D8" s="9"/>
      <c r="E8" s="9"/>
      <c r="F8" s="8" t="s">
        <v>100</v>
      </c>
    </row>
    <row r="9" customFormat="false" ht="24" hidden="false" customHeight="true" outlineLevel="0" collapsed="false">
      <c r="A9" s="9" t="s">
        <v>95</v>
      </c>
      <c r="B9" s="11" t="s">
        <v>101</v>
      </c>
      <c r="C9" s="8" t="s">
        <v>102</v>
      </c>
      <c r="D9" s="9"/>
      <c r="E9" s="9"/>
      <c r="F9" s="8" t="s">
        <v>103</v>
      </c>
    </row>
    <row r="10" customFormat="false" ht="24" hidden="false" customHeight="true" outlineLevel="0" collapsed="false">
      <c r="A10" s="9" t="s">
        <v>104</v>
      </c>
      <c r="B10" s="8" t="s">
        <v>26</v>
      </c>
      <c r="C10" s="8" t="s">
        <v>105</v>
      </c>
      <c r="D10" s="9" t="n">
        <v>30</v>
      </c>
      <c r="E10" s="9" t="n">
        <v>6</v>
      </c>
      <c r="F10" s="8" t="s">
        <v>106</v>
      </c>
    </row>
    <row r="11" customFormat="false" ht="24" hidden="false" customHeight="true" outlineLevel="0" collapsed="false">
      <c r="A11" s="9" t="s">
        <v>104</v>
      </c>
      <c r="B11" s="11" t="s">
        <v>107</v>
      </c>
      <c r="C11" s="8" t="s">
        <v>108</v>
      </c>
      <c r="D11" s="9"/>
      <c r="E11" s="9"/>
      <c r="F11" s="8" t="s">
        <v>109</v>
      </c>
    </row>
    <row r="12" customFormat="false" ht="24" hidden="false" customHeight="true" outlineLevel="0" collapsed="false">
      <c r="A12" s="9" t="s">
        <v>104</v>
      </c>
      <c r="B12" s="11" t="s">
        <v>110</v>
      </c>
      <c r="C12" s="8" t="s">
        <v>111</v>
      </c>
      <c r="D12" s="9"/>
      <c r="E12" s="9"/>
      <c r="F12" s="8" t="s">
        <v>112</v>
      </c>
    </row>
    <row r="13" customFormat="false" ht="24" hidden="false" customHeight="true" outlineLevel="0" collapsed="false">
      <c r="A13" s="9" t="s">
        <v>104</v>
      </c>
      <c r="B13" s="11" t="s">
        <v>113</v>
      </c>
      <c r="C13" s="8" t="s">
        <v>114</v>
      </c>
      <c r="D13" s="9"/>
      <c r="E13" s="9"/>
      <c r="F13" s="8" t="s">
        <v>115</v>
      </c>
    </row>
    <row r="14" customFormat="false" ht="24" hidden="false" customHeight="true" outlineLevel="0" collapsed="false">
      <c r="A14" s="9" t="s">
        <v>116</v>
      </c>
      <c r="B14" s="8" t="s">
        <v>32</v>
      </c>
      <c r="C14" s="8" t="s">
        <v>117</v>
      </c>
      <c r="D14" s="9" t="n">
        <v>20</v>
      </c>
      <c r="E14" s="9" t="n">
        <v>3</v>
      </c>
      <c r="F14" s="8" t="s">
        <v>118</v>
      </c>
    </row>
    <row r="15" customFormat="false" ht="24" hidden="false" customHeight="true" outlineLevel="0" collapsed="false">
      <c r="A15" s="9" t="s">
        <v>119</v>
      </c>
      <c r="B15" s="8" t="s">
        <v>120</v>
      </c>
      <c r="C15" s="8" t="s">
        <v>121</v>
      </c>
      <c r="D15" s="9" t="n">
        <v>15</v>
      </c>
      <c r="E15" s="9" t="n">
        <v>2</v>
      </c>
      <c r="F15" s="8" t="s">
        <v>122</v>
      </c>
    </row>
    <row r="16" customFormat="false" ht="24" hidden="false" customHeight="true" outlineLevel="0" collapsed="false">
      <c r="A16" s="20"/>
      <c r="B16" s="19"/>
      <c r="C16" s="19"/>
      <c r="D16" s="20"/>
      <c r="E16" s="20"/>
      <c r="F16" s="19"/>
    </row>
    <row r="17" customFormat="false" ht="24" hidden="false" customHeight="true" outlineLevel="0" collapsed="false">
      <c r="A17" s="20"/>
      <c r="B17" s="19"/>
      <c r="C17" s="19"/>
      <c r="D17" s="20"/>
      <c r="E17" s="20"/>
      <c r="F17" s="19"/>
    </row>
    <row r="18" customFormat="false" ht="24" hidden="false" customHeight="true" outlineLevel="0" collapsed="false">
      <c r="A18" s="20"/>
      <c r="B18" s="19"/>
      <c r="C18" s="19"/>
      <c r="D18" s="20"/>
      <c r="E18" s="20"/>
      <c r="F18" s="19"/>
    </row>
    <row r="19" customFormat="false" ht="24" hidden="false" customHeight="true" outlineLevel="0" collapsed="false">
      <c r="A19" s="20"/>
      <c r="B19" s="19"/>
      <c r="C19" s="19"/>
      <c r="D19" s="20"/>
      <c r="E19" s="20"/>
      <c r="F19" s="19"/>
    </row>
    <row r="20" customFormat="false" ht="24" hidden="false" customHeight="true" outlineLevel="0" collapsed="false">
      <c r="A20" s="20"/>
      <c r="B20" s="19"/>
      <c r="C20" s="19"/>
      <c r="D20" s="20"/>
      <c r="E20" s="20"/>
      <c r="F20" s="19"/>
    </row>
    <row r="21" customFormat="false" ht="15" hidden="false" customHeight="true" outlineLevel="0" collapsed="false">
      <c r="A21" s="12" t="s">
        <v>41</v>
      </c>
      <c r="B21" s="24" t="s">
        <v>123</v>
      </c>
      <c r="C21" s="24"/>
      <c r="D21" s="12" t="n">
        <f aca="false">SUM(D5:D20)</f>
        <v>100</v>
      </c>
      <c r="E21" s="12" t="n">
        <f aca="false">SUM(E5:E20)</f>
        <v>18</v>
      </c>
      <c r="F21" s="12" t="str">
        <f aca="false">IF(D21=100,"배점 OK","배점 100 아님")</f>
        <v>배점 OK</v>
      </c>
    </row>
    <row r="23" customFormat="false" ht="24" hidden="false" customHeight="true" outlineLevel="0" collapsed="false">
      <c r="A23" s="3" t="s">
        <v>124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25" t="s">
        <v>125</v>
      </c>
      <c r="B24" s="25"/>
      <c r="C24" s="25"/>
      <c r="D24" s="25"/>
      <c r="E24" s="25"/>
      <c r="F24" s="25"/>
    </row>
    <row r="25" customFormat="false" ht="15" hidden="false" customHeight="false" outlineLevel="0" collapsed="false">
      <c r="A25" s="25" t="s">
        <v>126</v>
      </c>
      <c r="B25" s="25"/>
      <c r="C25" s="25"/>
      <c r="D25" s="25"/>
      <c r="E25" s="25"/>
      <c r="F25" s="25"/>
    </row>
    <row r="26" customFormat="false" ht="15" hidden="false" customHeight="false" outlineLevel="0" collapsed="false">
      <c r="A26" s="25" t="s">
        <v>127</v>
      </c>
      <c r="B26" s="25"/>
      <c r="C26" s="25"/>
      <c r="D26" s="25"/>
      <c r="E26" s="25"/>
      <c r="F26" s="25"/>
    </row>
    <row r="27" customFormat="false" ht="15" hidden="false" customHeight="false" outlineLevel="0" collapsed="false">
      <c r="A27" s="25" t="s">
        <v>128</v>
      </c>
      <c r="B27" s="25"/>
      <c r="C27" s="25"/>
      <c r="D27" s="25"/>
      <c r="E27" s="25"/>
      <c r="F27" s="25"/>
    </row>
    <row r="29" customFormat="false" ht="14.15" hidden="false" customHeight="false" outlineLevel="0" collapsed="false">
      <c r="A29" s="23" t="s">
        <v>129</v>
      </c>
      <c r="B29" s="23"/>
      <c r="C29" s="23"/>
      <c r="D29" s="23"/>
      <c r="E29" s="23"/>
      <c r="F29" s="23"/>
    </row>
  </sheetData>
  <mergeCells count="9">
    <mergeCell ref="A1:F1"/>
    <mergeCell ref="A2:F2"/>
    <mergeCell ref="B21:C21"/>
    <mergeCell ref="A23:F23"/>
    <mergeCell ref="A24:F24"/>
    <mergeCell ref="A25:F25"/>
    <mergeCell ref="A26:F26"/>
    <mergeCell ref="A27:F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33.7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4" t="s">
        <v>132</v>
      </c>
      <c r="B4" s="26" t="n">
        <v>50000</v>
      </c>
      <c r="C4" s="27" t="s">
        <v>133</v>
      </c>
    </row>
    <row r="6" customFormat="false" ht="25.5" hidden="false" customHeight="true" outlineLevel="0" collapsed="false">
      <c r="A6" s="7" t="s">
        <v>134</v>
      </c>
      <c r="B6" s="7" t="s">
        <v>135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24</v>
      </c>
      <c r="H6" s="7" t="s">
        <v>140</v>
      </c>
    </row>
    <row r="7" customFormat="false" ht="24" hidden="false" customHeight="true" outlineLevel="0" collapsed="false">
      <c r="A7" s="8" t="s">
        <v>141</v>
      </c>
      <c r="B7" s="8" t="s">
        <v>142</v>
      </c>
      <c r="C7" s="20" t="n">
        <v>250</v>
      </c>
      <c r="D7" s="20" t="n">
        <v>2</v>
      </c>
      <c r="E7" s="20" t="n">
        <v>20</v>
      </c>
      <c r="F7" s="28" t="n">
        <f aca="false">IF(COUNT(C7:E7)&lt;3,"",C7*D7*E7)</f>
        <v>10000</v>
      </c>
      <c r="G7" s="10" t="n">
        <f aca="false">IF(F7="","",IF($B$4=0,"",F7/$B$4))</f>
        <v>0.2</v>
      </c>
      <c r="H7" s="8" t="s">
        <v>143</v>
      </c>
    </row>
    <row r="8" customFormat="false" ht="24" hidden="false" customHeight="true" outlineLevel="0" collapsed="false">
      <c r="A8" s="8" t="s">
        <v>144</v>
      </c>
      <c r="B8" s="8" t="s">
        <v>145</v>
      </c>
      <c r="C8" s="20" t="n">
        <v>15</v>
      </c>
      <c r="D8" s="20" t="n">
        <v>300</v>
      </c>
      <c r="E8" s="20" t="n">
        <v>4</v>
      </c>
      <c r="F8" s="28" t="n">
        <f aca="false">IF(COUNT(C8:E8)&lt;3,"",C8*D8*E8)</f>
        <v>18000</v>
      </c>
      <c r="G8" s="10" t="n">
        <f aca="false">IF(F8="","",IF($B$4=0,"",F8/$B$4))</f>
        <v>0.36</v>
      </c>
      <c r="H8" s="8" t="s">
        <v>146</v>
      </c>
    </row>
    <row r="9" customFormat="false" ht="24" hidden="false" customHeight="true" outlineLevel="0" collapsed="false">
      <c r="A9" s="8" t="s">
        <v>147</v>
      </c>
      <c r="B9" s="8" t="s">
        <v>148</v>
      </c>
      <c r="C9" s="20" t="n">
        <v>2000</v>
      </c>
      <c r="D9" s="20" t="n">
        <v>1</v>
      </c>
      <c r="E9" s="20" t="n">
        <v>6</v>
      </c>
      <c r="F9" s="28" t="n">
        <f aca="false">IF(COUNT(C9:E9)&lt;3,"",C9*D9*E9)</f>
        <v>12000</v>
      </c>
      <c r="G9" s="10" t="n">
        <f aca="false">IF(F9="","",IF($B$4=0,"",F9/$B$4))</f>
        <v>0.24</v>
      </c>
      <c r="H9" s="8" t="s">
        <v>149</v>
      </c>
    </row>
    <row r="10" customFormat="false" ht="24" hidden="false" customHeight="true" outlineLevel="0" collapsed="false">
      <c r="A10" s="8" t="s">
        <v>150</v>
      </c>
      <c r="B10" s="8" t="s">
        <v>151</v>
      </c>
      <c r="C10" s="20" t="n">
        <v>2</v>
      </c>
      <c r="D10" s="20" t="n">
        <v>500</v>
      </c>
      <c r="E10" s="20" t="n">
        <v>1</v>
      </c>
      <c r="F10" s="28" t="n">
        <f aca="false">IF(COUNT(C10:E10)&lt;3,"",C10*D10*E10)</f>
        <v>1000</v>
      </c>
      <c r="G10" s="10" t="n">
        <f aca="false">IF(F10="","",IF($B$4=0,"",F10/$B$4))</f>
        <v>0.02</v>
      </c>
      <c r="H10" s="8" t="s">
        <v>152</v>
      </c>
    </row>
    <row r="11" customFormat="false" ht="24" hidden="false" customHeight="true" outlineLevel="0" collapsed="false">
      <c r="A11" s="8" t="s">
        <v>150</v>
      </c>
      <c r="B11" s="8" t="s">
        <v>153</v>
      </c>
      <c r="C11" s="20" t="n">
        <v>4000</v>
      </c>
      <c r="D11" s="20" t="n">
        <v>1</v>
      </c>
      <c r="E11" s="20" t="n">
        <v>1</v>
      </c>
      <c r="F11" s="28" t="n">
        <f aca="false">IF(COUNT(C11:E11)&lt;3,"",C11*D11*E11)</f>
        <v>4000</v>
      </c>
      <c r="G11" s="10" t="n">
        <f aca="false">IF(F11="","",IF($B$4=0,"",F11/$B$4))</f>
        <v>0.08</v>
      </c>
      <c r="H11" s="8" t="s">
        <v>154</v>
      </c>
    </row>
    <row r="12" customFormat="false" ht="24" hidden="false" customHeight="true" outlineLevel="0" collapsed="false">
      <c r="A12" s="8" t="s">
        <v>155</v>
      </c>
      <c r="B12" s="8" t="s">
        <v>156</v>
      </c>
      <c r="C12" s="20" t="n">
        <v>5000</v>
      </c>
      <c r="D12" s="20" t="n">
        <v>1</v>
      </c>
      <c r="E12" s="20" t="n">
        <v>1</v>
      </c>
      <c r="F12" s="28" t="n">
        <f aca="false">IF(COUNT(C12:E12)&lt;3,"",C12*D12*E12)</f>
        <v>5000</v>
      </c>
      <c r="G12" s="10" t="n">
        <f aca="false">IF(F12="","",IF($B$4=0,"",F12/$B$4))</f>
        <v>0.1</v>
      </c>
      <c r="H12" s="8" t="s">
        <v>157</v>
      </c>
    </row>
    <row r="13" customFormat="false" ht="24" hidden="false" customHeight="true" outlineLevel="0" collapsed="false">
      <c r="A13" s="19"/>
      <c r="B13" s="19"/>
      <c r="C13" s="20"/>
      <c r="D13" s="20"/>
      <c r="E13" s="20"/>
      <c r="F13" s="28" t="str">
        <f aca="false">IF(COUNT(C13:E13)&lt;3,"",C13*D13*E13)</f>
        <v/>
      </c>
      <c r="G13" s="10" t="str">
        <f aca="false">IF(F13="","",IF($B$4=0,"",F13/$B$4))</f>
        <v/>
      </c>
      <c r="H13" s="19"/>
    </row>
    <row r="14" customFormat="false" ht="24" hidden="false" customHeight="true" outlineLevel="0" collapsed="false">
      <c r="A14" s="19"/>
      <c r="B14" s="19"/>
      <c r="C14" s="20"/>
      <c r="D14" s="20"/>
      <c r="E14" s="20"/>
      <c r="F14" s="28" t="str">
        <f aca="false">IF(COUNT(C14:E14)&lt;3,"",C14*D14*E14)</f>
        <v/>
      </c>
      <c r="G14" s="10" t="str">
        <f aca="false">IF(F14="","",IF($B$4=0,"",F14/$B$4))</f>
        <v/>
      </c>
      <c r="H14" s="19"/>
    </row>
    <row r="15" customFormat="false" ht="24" hidden="false" customHeight="true" outlineLevel="0" collapsed="false">
      <c r="A15" s="19"/>
      <c r="B15" s="19"/>
      <c r="C15" s="20"/>
      <c r="D15" s="20"/>
      <c r="E15" s="20"/>
      <c r="F15" s="28" t="str">
        <f aca="false">IF(COUNT(C15:E15)&lt;3,"",C15*D15*E15)</f>
        <v/>
      </c>
      <c r="G15" s="10" t="str">
        <f aca="false">IF(F15="","",IF($B$4=0,"",F15/$B$4))</f>
        <v/>
      </c>
      <c r="H15" s="19"/>
    </row>
    <row r="16" customFormat="false" ht="24" hidden="false" customHeight="true" outlineLevel="0" collapsed="false">
      <c r="A16" s="19"/>
      <c r="B16" s="19"/>
      <c r="C16" s="20"/>
      <c r="D16" s="20"/>
      <c r="E16" s="20"/>
      <c r="F16" s="28" t="str">
        <f aca="false">IF(COUNT(C16:E16)&lt;3,"",C16*D16*E16)</f>
        <v/>
      </c>
      <c r="G16" s="10" t="str">
        <f aca="false">IF(F16="","",IF($B$4=0,"",F16/$B$4))</f>
        <v/>
      </c>
      <c r="H16" s="19"/>
    </row>
    <row r="17" customFormat="false" ht="24" hidden="false" customHeight="true" outlineLevel="0" collapsed="false">
      <c r="A17" s="19"/>
      <c r="B17" s="19"/>
      <c r="C17" s="20"/>
      <c r="D17" s="20"/>
      <c r="E17" s="20"/>
      <c r="F17" s="28" t="str">
        <f aca="false">IF(COUNT(C17:E17)&lt;3,"",C17*D17*E17)</f>
        <v/>
      </c>
      <c r="G17" s="10" t="str">
        <f aca="false">IF(F17="","",IF($B$4=0,"",F17/$B$4))</f>
        <v/>
      </c>
      <c r="H17" s="19"/>
    </row>
    <row r="18" customFormat="false" ht="24" hidden="false" customHeight="true" outlineLevel="0" collapsed="false">
      <c r="A18" s="19"/>
      <c r="B18" s="19"/>
      <c r="C18" s="20"/>
      <c r="D18" s="20"/>
      <c r="E18" s="20"/>
      <c r="F18" s="28" t="str">
        <f aca="false">IF(COUNT(C18:E18)&lt;3,"",C18*D18*E18)</f>
        <v/>
      </c>
      <c r="G18" s="10" t="str">
        <f aca="false">IF(F18="","",IF($B$4=0,"",F18/$B$4))</f>
        <v/>
      </c>
      <c r="H18" s="19"/>
    </row>
    <row r="19" customFormat="false" ht="15" hidden="false" customHeight="false" outlineLevel="0" collapsed="false">
      <c r="A19" s="12" t="s">
        <v>41</v>
      </c>
      <c r="B19" s="29"/>
      <c r="C19" s="29"/>
      <c r="D19" s="29"/>
      <c r="E19" s="29"/>
      <c r="F19" s="30" t="n">
        <f aca="false">SUM(F7:F18)</f>
        <v>50000</v>
      </c>
      <c r="G19" s="31" t="n">
        <f aca="false">IF($B$4=0,"",F19/$B$4)</f>
        <v>1</v>
      </c>
      <c r="H19" s="12" t="str">
        <f aca="false">IF(F19=$B$4,"총사업비와 일치","차액 "&amp;TEXT($B$4-F19,"#,##0")&amp;"천원")</f>
        <v>총사업비와 일치</v>
      </c>
    </row>
    <row r="21" customFormat="false" ht="24" hidden="false" customHeight="true" outlineLevel="0" collapsed="false">
      <c r="A21" s="3" t="s">
        <v>158</v>
      </c>
      <c r="B21" s="3"/>
      <c r="C21" s="3"/>
      <c r="D21" s="3"/>
      <c r="E21" s="3"/>
      <c r="F21" s="3"/>
      <c r="G21" s="3"/>
      <c r="H21" s="3"/>
    </row>
    <row r="22" customFormat="false" ht="21.75" hidden="false" customHeight="true" outlineLevel="0" collapsed="false">
      <c r="A22" s="32" t="s">
        <v>159</v>
      </c>
      <c r="B22" s="32"/>
      <c r="C22" s="32"/>
      <c r="D22" s="32"/>
      <c r="E22" s="32"/>
      <c r="F22" s="33" t="str">
        <f aca="false">IF(F19=$B$4,"OK","불일치")</f>
        <v>OK</v>
      </c>
      <c r="G22" s="33"/>
      <c r="H22" s="33"/>
    </row>
    <row r="23" customFormat="false" ht="21.75" hidden="false" customHeight="true" outlineLevel="0" collapsed="false">
      <c r="A23" s="32" t="s">
        <v>160</v>
      </c>
      <c r="B23" s="32"/>
      <c r="C23" s="32"/>
      <c r="D23" s="32"/>
      <c r="E23" s="32"/>
      <c r="F23" s="33" t="str">
        <f aca="false">IF($B$4=0,"총사업비를 먼저 입력",IF(SUMIF(A7:A18,"운영인건비",F7:F18)/$B$4&gt;0.3,"30% 초과 — 감액 위험","OK"))</f>
        <v>OK</v>
      </c>
      <c r="G23" s="33"/>
      <c r="H23" s="33"/>
    </row>
    <row r="24" customFormat="false" ht="21.75" hidden="false" customHeight="true" outlineLevel="0" collapsed="false">
      <c r="A24" s="32" t="s">
        <v>161</v>
      </c>
      <c r="B24" s="32"/>
      <c r="C24" s="32"/>
      <c r="D24" s="32"/>
      <c r="E24" s="32"/>
      <c r="F24" s="33" t="str">
        <f aca="false">IF(COUNTIFS(F7:F18,"&gt;0",H7:H18,"")&gt;0,"근거 없는 항목 있음","OK")</f>
        <v>OK</v>
      </c>
      <c r="G24" s="33"/>
      <c r="H24" s="33"/>
    </row>
    <row r="25" customFormat="false" ht="21.75" hidden="false" customHeight="true" outlineLevel="0" collapsed="false">
      <c r="A25" s="32" t="s">
        <v>162</v>
      </c>
      <c r="B25" s="32"/>
      <c r="C25" s="32"/>
      <c r="D25" s="32"/>
      <c r="E25" s="32"/>
      <c r="F25" s="34" t="s">
        <v>163</v>
      </c>
      <c r="G25" s="34"/>
      <c r="H25" s="34"/>
    </row>
    <row r="27" customFormat="false" ht="24" hidden="false" customHeight="true" outlineLevel="0" collapsed="false">
      <c r="A27" s="3" t="s">
        <v>164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25" t="s">
        <v>165</v>
      </c>
      <c r="B28" s="25"/>
      <c r="C28" s="25"/>
      <c r="D28" s="25"/>
      <c r="E28" s="25"/>
      <c r="F28" s="25"/>
      <c r="G28" s="25"/>
      <c r="H28" s="25"/>
    </row>
    <row r="29" customFormat="false" ht="15" hidden="false" customHeight="false" outlineLevel="0" collapsed="false">
      <c r="A29" s="25" t="s">
        <v>166</v>
      </c>
      <c r="B29" s="25"/>
      <c r="C29" s="25"/>
      <c r="D29" s="25"/>
      <c r="E29" s="25"/>
      <c r="F29" s="25"/>
      <c r="G29" s="25"/>
      <c r="H29" s="25"/>
    </row>
    <row r="30" customFormat="false" ht="15" hidden="false" customHeight="false" outlineLevel="0" collapsed="false">
      <c r="A30" s="25" t="s">
        <v>167</v>
      </c>
      <c r="B30" s="25"/>
      <c r="C30" s="25"/>
      <c r="D30" s="25"/>
      <c r="E30" s="25"/>
      <c r="F30" s="25"/>
      <c r="G30" s="25"/>
      <c r="H30" s="25"/>
    </row>
    <row r="31" customFormat="false" ht="15" hidden="false" customHeight="false" outlineLevel="0" collapsed="false">
      <c r="A31" s="25" t="s">
        <v>168</v>
      </c>
      <c r="B31" s="25"/>
      <c r="C31" s="25"/>
      <c r="D31" s="25"/>
      <c r="E31" s="25"/>
      <c r="F31" s="25"/>
      <c r="G31" s="25"/>
      <c r="H31" s="25"/>
    </row>
    <row r="32" customFormat="false" ht="15" hidden="false" customHeight="false" outlineLevel="0" collapsed="false">
      <c r="A32" s="25" t="s">
        <v>169</v>
      </c>
      <c r="B32" s="25"/>
      <c r="C32" s="25"/>
      <c r="D32" s="25"/>
      <c r="E32" s="25"/>
      <c r="F32" s="25"/>
      <c r="G32" s="25"/>
      <c r="H32" s="25"/>
    </row>
    <row r="33" customFormat="false" ht="15" hidden="false" customHeight="false" outlineLevel="0" collapsed="false">
      <c r="A33" s="25" t="s">
        <v>170</v>
      </c>
      <c r="B33" s="25"/>
      <c r="C33" s="25"/>
      <c r="D33" s="25"/>
      <c r="E33" s="25"/>
      <c r="F33" s="25"/>
      <c r="G33" s="25"/>
      <c r="H33" s="25"/>
    </row>
    <row r="34" customFormat="false" ht="15" hidden="false" customHeight="false" outlineLevel="0" collapsed="false">
      <c r="A34" s="25" t="s">
        <v>171</v>
      </c>
      <c r="B34" s="25"/>
      <c r="C34" s="25"/>
      <c r="D34" s="25"/>
      <c r="E34" s="25"/>
      <c r="F34" s="25"/>
      <c r="G34" s="25"/>
      <c r="H34" s="25"/>
    </row>
    <row r="36" customFormat="false" ht="14.15" hidden="false" customHeight="false" outlineLevel="0" collapsed="false">
      <c r="A36" s="23" t="s">
        <v>172</v>
      </c>
      <c r="B36" s="23"/>
      <c r="C36" s="23"/>
      <c r="D36" s="23"/>
      <c r="E36" s="23"/>
      <c r="F36" s="23"/>
      <c r="G36" s="23"/>
      <c r="H36" s="23"/>
    </row>
  </sheetData>
  <mergeCells count="21">
    <mergeCell ref="A1:H1"/>
    <mergeCell ref="A2:H2"/>
    <mergeCell ref="B19:E19"/>
    <mergeCell ref="A21:H21"/>
    <mergeCell ref="A22:E22"/>
    <mergeCell ref="F22:H22"/>
    <mergeCell ref="A23:E23"/>
    <mergeCell ref="F23:H23"/>
    <mergeCell ref="A24:E24"/>
    <mergeCell ref="F24:H24"/>
    <mergeCell ref="A25:E25"/>
    <mergeCell ref="F25:H25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173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5" t="s">
        <v>174</v>
      </c>
      <c r="B2" s="35"/>
      <c r="C2" s="35"/>
      <c r="D2" s="35"/>
      <c r="E2" s="35"/>
      <c r="F2" s="35"/>
    </row>
    <row r="4" customFormat="false" ht="25.5" hidden="false" customHeight="true" outlineLevel="0" collapsed="false">
      <c r="A4" s="7" t="s">
        <v>175</v>
      </c>
      <c r="B4" s="7" t="s">
        <v>176</v>
      </c>
      <c r="C4" s="7" t="s">
        <v>177</v>
      </c>
      <c r="D4" s="7" t="s">
        <v>178</v>
      </c>
      <c r="E4" s="7" t="s">
        <v>179</v>
      </c>
      <c r="F4" s="7" t="s">
        <v>66</v>
      </c>
    </row>
    <row r="5" customFormat="false" ht="24" hidden="false" customHeight="true" outlineLevel="0" collapsed="false">
      <c r="A5" s="22" t="s">
        <v>180</v>
      </c>
      <c r="B5" s="8" t="s">
        <v>181</v>
      </c>
      <c r="C5" s="8" t="s">
        <v>182</v>
      </c>
      <c r="D5" s="9" t="s">
        <v>183</v>
      </c>
      <c r="E5" s="22" t="s">
        <v>184</v>
      </c>
      <c r="F5" s="22" t="s">
        <v>185</v>
      </c>
    </row>
    <row r="6" customFormat="false" ht="24" hidden="false" customHeight="true" outlineLevel="0" collapsed="false">
      <c r="A6" s="22" t="s">
        <v>180</v>
      </c>
      <c r="B6" s="8" t="s">
        <v>186</v>
      </c>
      <c r="C6" s="8" t="s">
        <v>187</v>
      </c>
      <c r="D6" s="9" t="s">
        <v>188</v>
      </c>
      <c r="E6" s="22" t="s">
        <v>184</v>
      </c>
      <c r="F6" s="22" t="s">
        <v>185</v>
      </c>
    </row>
    <row r="7" customFormat="false" ht="24" hidden="false" customHeight="true" outlineLevel="0" collapsed="false">
      <c r="A7" s="22" t="s">
        <v>189</v>
      </c>
      <c r="B7" s="8" t="s">
        <v>190</v>
      </c>
      <c r="C7" s="11" t="s">
        <v>191</v>
      </c>
      <c r="D7" s="9" t="s">
        <v>192</v>
      </c>
      <c r="E7" s="22" t="s">
        <v>193</v>
      </c>
      <c r="F7" s="22" t="s">
        <v>194</v>
      </c>
    </row>
    <row r="8" customFormat="false" ht="24" hidden="false" customHeight="true" outlineLevel="0" collapsed="false">
      <c r="A8" s="22" t="s">
        <v>189</v>
      </c>
      <c r="B8" s="8" t="s">
        <v>195</v>
      </c>
      <c r="C8" s="8" t="s">
        <v>196</v>
      </c>
      <c r="D8" s="9" t="s">
        <v>197</v>
      </c>
      <c r="E8" s="22" t="s">
        <v>193</v>
      </c>
      <c r="F8" s="22" t="s">
        <v>194</v>
      </c>
    </row>
    <row r="9" customFormat="false" ht="24" hidden="false" customHeight="true" outlineLevel="0" collapsed="false">
      <c r="A9" s="22" t="s">
        <v>198</v>
      </c>
      <c r="B9" s="8" t="s">
        <v>199</v>
      </c>
      <c r="C9" s="8" t="s">
        <v>200</v>
      </c>
      <c r="D9" s="9" t="s">
        <v>201</v>
      </c>
      <c r="E9" s="22" t="s">
        <v>202</v>
      </c>
      <c r="F9" s="22" t="s">
        <v>203</v>
      </c>
    </row>
    <row r="10" customFormat="false" ht="24" hidden="false" customHeight="true" outlineLevel="0" collapsed="false">
      <c r="A10" s="22" t="s">
        <v>198</v>
      </c>
      <c r="B10" s="8" t="s">
        <v>204</v>
      </c>
      <c r="C10" s="11" t="s">
        <v>205</v>
      </c>
      <c r="D10" s="9" t="s">
        <v>206</v>
      </c>
      <c r="E10" s="22" t="s">
        <v>202</v>
      </c>
      <c r="F10" s="22" t="s">
        <v>203</v>
      </c>
    </row>
    <row r="11" customFormat="false" ht="24" hidden="false" customHeight="true" outlineLevel="0" collapsed="false">
      <c r="A11" s="20"/>
      <c r="B11" s="19"/>
      <c r="C11" s="19"/>
      <c r="D11" s="20"/>
      <c r="E11" s="20"/>
      <c r="F11" s="20"/>
    </row>
    <row r="12" customFormat="false" ht="24" hidden="false" customHeight="true" outlineLevel="0" collapsed="false">
      <c r="A12" s="20"/>
      <c r="B12" s="19"/>
      <c r="C12" s="19"/>
      <c r="D12" s="20"/>
      <c r="E12" s="20"/>
      <c r="F12" s="20"/>
    </row>
    <row r="13" customFormat="false" ht="24" hidden="false" customHeight="true" outlineLevel="0" collapsed="false">
      <c r="A13" s="20"/>
      <c r="B13" s="19"/>
      <c r="C13" s="19"/>
      <c r="D13" s="20"/>
      <c r="E13" s="20"/>
      <c r="F13" s="20"/>
    </row>
    <row r="14" customFormat="false" ht="24" hidden="false" customHeight="true" outlineLevel="0" collapsed="false">
      <c r="A14" s="20"/>
      <c r="B14" s="19"/>
      <c r="C14" s="19"/>
      <c r="D14" s="20"/>
      <c r="E14" s="20"/>
      <c r="F14" s="20"/>
    </row>
    <row r="15" customFormat="false" ht="15" hidden="false" customHeight="false" outlineLevel="0" collapsed="false">
      <c r="A15" s="12" t="s">
        <v>207</v>
      </c>
      <c r="B15" s="36" t="str">
        <f aca="false">COUNTIF(A5:A14,"산출*")&amp;"개  ·  "&amp;COUNTIF(A5:A14,"성과*")&amp;"개  ·  "&amp;COUNTIF(A5:A14,"파급*")&amp;"개"</f>
        <v>2개  ·  2개  ·  2개</v>
      </c>
      <c r="C15" s="36"/>
      <c r="D15" s="36"/>
      <c r="E15" s="12" t="str">
        <f aca="false">IF(AND(COUNTIF(A5:A14,"산출*")&gt;0,COUNTIF(A5:A14,"성과*")&gt;0,COUNTIF(A5:A14,"파급*")&gt;0),"세 층 모두 있음","빠진 층 있음")</f>
        <v>세 층 모두 있음</v>
      </c>
      <c r="F15" s="12"/>
    </row>
    <row r="17" customFormat="false" ht="24" hidden="false" customHeight="true" outlineLevel="0" collapsed="false">
      <c r="A17" s="3" t="s">
        <v>208</v>
      </c>
      <c r="B17" s="3"/>
      <c r="C17" s="3"/>
      <c r="D17" s="3"/>
      <c r="E17" s="3"/>
      <c r="F17" s="3"/>
    </row>
    <row r="18" customFormat="false" ht="21.75" hidden="false" customHeight="true" outlineLevel="0" collapsed="false">
      <c r="A18" s="4" t="s">
        <v>209</v>
      </c>
      <c r="B18" s="37" t="s">
        <v>210</v>
      </c>
      <c r="C18" s="38" t="s">
        <v>211</v>
      </c>
      <c r="D18" s="38"/>
      <c r="E18" s="38"/>
      <c r="F18" s="38"/>
    </row>
    <row r="19" customFormat="false" ht="21.75" hidden="false" customHeight="true" outlineLevel="0" collapsed="false">
      <c r="A19" s="4" t="s">
        <v>212</v>
      </c>
      <c r="B19" s="37" t="s">
        <v>213</v>
      </c>
      <c r="C19" s="38" t="s">
        <v>214</v>
      </c>
      <c r="D19" s="38"/>
      <c r="E19" s="38"/>
      <c r="F19" s="38"/>
    </row>
    <row r="20" customFormat="false" ht="21.75" hidden="false" customHeight="true" outlineLevel="0" collapsed="false">
      <c r="A20" s="4" t="s">
        <v>215</v>
      </c>
      <c r="B20" s="37" t="s">
        <v>216</v>
      </c>
      <c r="C20" s="38" t="s">
        <v>217</v>
      </c>
      <c r="D20" s="38"/>
      <c r="E20" s="38"/>
      <c r="F20" s="38"/>
    </row>
    <row r="23" customFormat="false" ht="24" hidden="false" customHeight="true" outlineLevel="0" collapsed="false">
      <c r="A23" s="39" t="s">
        <v>218</v>
      </c>
      <c r="B23" s="39"/>
      <c r="C23" s="39"/>
      <c r="D23" s="39"/>
      <c r="E23" s="39"/>
      <c r="F23" s="39"/>
    </row>
    <row r="25" customFormat="false" ht="14.15" hidden="false" customHeight="false" outlineLevel="0" collapsed="false">
      <c r="A25" s="23" t="s">
        <v>219</v>
      </c>
      <c r="B25" s="23"/>
      <c r="C25" s="23"/>
      <c r="D25" s="23"/>
      <c r="E25" s="23"/>
      <c r="F25" s="23"/>
    </row>
  </sheetData>
  <mergeCells count="10">
    <mergeCell ref="A1:F1"/>
    <mergeCell ref="A2:F2"/>
    <mergeCell ref="B15:D15"/>
    <mergeCell ref="E15:F15"/>
    <mergeCell ref="A17:F17"/>
    <mergeCell ref="C18:F18"/>
    <mergeCell ref="C19:F19"/>
    <mergeCell ref="C20:F20"/>
    <mergeCell ref="A23:F2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2026-08-19T16:45:30Z</dcterms:created>
  <dc:creator>openpyxl</dc:creator>
  <dc:description/>
  <dc:language>en-US</dc:language>
  <cp:lastModifiedBy/>
  <dcterms:modified xsi:type="dcterms:W3CDTF">2026-08-19T16:45:30Z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